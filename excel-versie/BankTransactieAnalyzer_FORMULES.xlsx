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es" sheetId="1" state="visible" r:id="rId1"/>
    <sheet name="📥 CSV Import" sheetId="2" state="visible" r:id="rId2"/>
    <sheet name="🏷️ Categorieregels" sheetId="3" state="visible" r:id="rId3"/>
    <sheet name="✅ Data Verwerkt" sheetId="4" state="visible" r:id="rId4"/>
    <sheet name="📊 Dashboard" sheetId="5" state="visible" r:id="rId5"/>
  </sheets>
  <definedNames>
    <definedName name="_xlnm._FilterDatabase" localSheetId="3" hidden="1">'✅ Data Verwerkt'!$A$1:$K$100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0B050"/>
      <sz val="14"/>
    </font>
    <font>
      <b val="1"/>
      <color rgb="001F4E78"/>
      <sz val="12"/>
    </font>
    <font>
      <b val="1"/>
      <color rgb="00C55A11"/>
      <sz val="11"/>
    </font>
    <font>
      <b val="1"/>
      <color rgb="007030A0"/>
    </font>
    <font>
      <color rgb="0000B050"/>
    </font>
    <font>
      <color rgb="00C55A11"/>
    </font>
    <font>
      <b val="1"/>
      <color rgb="00FFFFFF"/>
      <sz val="14"/>
    </font>
    <font>
      <i val="1"/>
      <color rgb="00666666"/>
      <sz val="10"/>
    </font>
    <font>
      <b val="1"/>
      <i val="1"/>
      <color rgb="00999999"/>
    </font>
    <font>
      <i val="1"/>
      <color rgb="00CCCCCC"/>
    </font>
    <font>
      <b val="1"/>
      <color rgb="00FFFFFF"/>
    </font>
    <font>
      <b val="1"/>
      <sz val="14"/>
    </font>
    <font>
      <b val="1"/>
      <color rgb="0000B050"/>
    </font>
    <font>
      <b val="1"/>
      <color rgb="00FF0000"/>
    </font>
    <font>
      <b val="1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0F0F0"/>
        <bgColor rgb="00F0F0F0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10" fillId="4" borderId="0" pivotButton="0" quotePrefix="0" xfId="0"/>
    <xf numFmtId="0" fontId="11" fillId="0" borderId="0" pivotButton="0" quotePrefix="0" xfId="0"/>
    <xf numFmtId="0" fontId="12" fillId="5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3" fillId="0" borderId="0" pivotButton="0" quotePrefix="0" xfId="0"/>
    <xf numFmtId="164" fontId="14" fillId="0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65" customWidth="1" min="3" max="3"/>
  </cols>
  <sheetData>
    <row r="1" ht="30" customHeight="1">
      <c r="A1" s="1" t="inlineStr">
        <is>
          <t>💰 BANKTRANSACTIE ANALYZER - FORMULE EDITIE</t>
        </is>
      </c>
    </row>
    <row r="3">
      <c r="A3" s="2" t="inlineStr">
        <is>
          <t>✨ SUPER SIMPEL - GEEN INSTALLATIE - GEEN MACRO'S!</t>
        </is>
      </c>
    </row>
    <row r="5">
      <c r="A5" t="inlineStr"/>
      <c r="C5" t="inlineStr"/>
    </row>
    <row r="6">
      <c r="A6" s="3" t="inlineStr">
        <is>
          <t>🚀 SNEL STARTEN (3 STAPPEN):</t>
        </is>
      </c>
      <c r="C6" t="inlineStr"/>
    </row>
    <row r="7">
      <c r="A7" t="inlineStr"/>
      <c r="C7" t="inlineStr"/>
    </row>
    <row r="8">
      <c r="A8" s="4" t="inlineStr">
        <is>
          <t>1️⃣ EXPORT van je bank</t>
        </is>
      </c>
      <c r="C8" t="inlineStr">
        <is>
          <t>Log in bij je bank → Download transacties als CSV</t>
        </is>
      </c>
    </row>
    <row r="9">
      <c r="A9" t="inlineStr"/>
      <c r="C9" t="inlineStr"/>
    </row>
    <row r="10">
      <c r="A10" s="4" t="inlineStr">
        <is>
          <t>2️⃣ PLAK in Excel</t>
        </is>
      </c>
      <c r="C10" t="inlineStr">
        <is>
          <t>Open CSV in Notepad → Kopieer ALLES → Plak in sheet 'CSV Import' cel A1</t>
        </is>
      </c>
    </row>
    <row r="11">
      <c r="A11" t="inlineStr"/>
      <c r="C11" t="inlineStr"/>
    </row>
    <row r="12">
      <c r="A12" s="4" t="inlineStr">
        <is>
          <t>3️⃣ KLAAR!</t>
        </is>
      </c>
      <c r="C12" t="inlineStr">
        <is>
          <t>Ga naar 'Data Verwerkt' - alles is automatisch gecategoriseerd!</t>
        </is>
      </c>
    </row>
    <row r="13">
      <c r="A13" t="inlineStr"/>
      <c r="C13" t="inlineStr">
        <is>
          <t>Bekijk 'Dashboard' voor grafieken en statistieken</t>
        </is>
      </c>
    </row>
    <row r="14">
      <c r="A14" t="inlineStr"/>
      <c r="C14" t="inlineStr"/>
    </row>
    <row r="15">
      <c r="A15" t="inlineStr"/>
      <c r="C15" t="inlineStr"/>
    </row>
    <row r="16">
      <c r="A16" s="3" t="inlineStr">
        <is>
          <t>📊 SHEETS UITLEG:</t>
        </is>
      </c>
      <c r="C16" t="inlineStr"/>
    </row>
    <row r="17">
      <c r="A17" t="inlineStr"/>
      <c r="C17" t="inlineStr"/>
    </row>
    <row r="18">
      <c r="A18" s="5" t="inlineStr">
        <is>
          <t>📖 Instructies</t>
        </is>
      </c>
      <c r="C18" t="inlineStr">
        <is>
          <t>Deze pagina - beginnen hier</t>
        </is>
      </c>
    </row>
    <row r="19">
      <c r="A19" s="5" t="inlineStr">
        <is>
          <t>📥 CSV Import</t>
        </is>
      </c>
      <c r="C19" t="inlineStr">
        <is>
          <t>PLAK hier je CSV data (kopieer-plakken vanuit Notepad)</t>
        </is>
      </c>
    </row>
    <row r="20">
      <c r="A20" s="5" t="inlineStr">
        <is>
          <t>🏷️ Categorieregels</t>
        </is>
      </c>
      <c r="C20" t="inlineStr">
        <is>
          <t>Pas categorieën aan (100+ voorbeelden al ingevuld)</t>
        </is>
      </c>
    </row>
    <row r="21">
      <c r="A21" t="inlineStr">
        <is>
          <t>✅ Data Verwerkt</t>
        </is>
      </c>
      <c r="C21" t="inlineStr">
        <is>
          <t>Automatisch verrijkte data (formules doen alles!)</t>
        </is>
      </c>
    </row>
    <row r="22">
      <c r="A22" t="inlineStr">
        <is>
          <t>📊 Dashboard</t>
        </is>
      </c>
      <c r="C22" t="inlineStr">
        <is>
          <t>Overzichten per maand en categorie (automatische grafieken)</t>
        </is>
      </c>
    </row>
    <row r="23">
      <c r="A23" t="inlineStr"/>
      <c r="C23" t="inlineStr"/>
    </row>
    <row r="24">
      <c r="A24" t="inlineStr"/>
      <c r="C24" t="inlineStr"/>
    </row>
    <row r="25">
      <c r="A25" s="3" t="inlineStr">
        <is>
          <t>🔧 CATEGORIEËN AANPASSEN:</t>
        </is>
      </c>
      <c r="C25" t="inlineStr"/>
    </row>
    <row r="26">
      <c r="A26" t="inlineStr"/>
      <c r="C26" t="inlineStr"/>
    </row>
    <row r="27">
      <c r="A27" t="inlineStr"/>
      <c r="C27" t="inlineStr">
        <is>
          <t>1. Ga naar sheet 'Categorieregels'</t>
        </is>
      </c>
    </row>
    <row r="28">
      <c r="A28" t="inlineStr"/>
      <c r="C28" t="inlineStr">
        <is>
          <t>2. Voeg nieuwe regels toe of pas bestaande aan</t>
        </is>
      </c>
    </row>
    <row r="29">
      <c r="A29" t="inlineStr"/>
      <c r="C29" t="inlineStr">
        <is>
          <t xml:space="preserve">   Kolom A: Zoekwoord (bijv. 'Albert Heijn')</t>
        </is>
      </c>
    </row>
    <row r="30">
      <c r="A30" t="inlineStr"/>
      <c r="C30" t="inlineStr">
        <is>
          <t xml:space="preserve">   Kolom B: Categorie (bijv. 'Boodschappen')</t>
        </is>
      </c>
    </row>
    <row r="31">
      <c r="A31" t="inlineStr"/>
      <c r="C31" t="inlineStr">
        <is>
          <t xml:space="preserve">   Kolom C: Subcategorie (bijv. 'Supermarkt')</t>
        </is>
      </c>
    </row>
    <row r="32">
      <c r="A32" t="inlineStr"/>
      <c r="C32" t="inlineStr">
        <is>
          <t>3. Data in 'Data Verwerkt' wordt automatisch bijgewerkt!</t>
        </is>
      </c>
    </row>
    <row r="33">
      <c r="A33" t="inlineStr"/>
      <c r="C33" t="inlineStr"/>
    </row>
    <row r="34">
      <c r="A34" t="inlineStr"/>
      <c r="C34" t="inlineStr"/>
    </row>
    <row r="35">
      <c r="A35" s="3" t="inlineStr">
        <is>
          <t>💡 TIPS:</t>
        </is>
      </c>
      <c r="C35" t="inlineStr"/>
    </row>
    <row r="36">
      <c r="A36" t="inlineStr"/>
      <c r="C36" t="inlineStr"/>
    </row>
    <row r="37">
      <c r="A37" s="6" t="inlineStr">
        <is>
          <t>✓ CSV Formaat</t>
        </is>
      </c>
      <c r="C37" t="inlineStr">
        <is>
          <t>Zorg dat je CSV minimaal heeft: Datum, Omschrijving, Bedrag</t>
        </is>
      </c>
    </row>
    <row r="38">
      <c r="A38" s="6" t="inlineStr">
        <is>
          <t>✓ Headers</t>
        </is>
      </c>
      <c r="C38" t="inlineStr">
        <is>
          <t>Eerste regel moet kolomnamen zijn (Datum, Omschrijving, etc.)</t>
        </is>
      </c>
    </row>
    <row r="39">
      <c r="A39" s="6" t="inlineStr">
        <is>
          <t>✓ Meerdere imports</t>
        </is>
      </c>
      <c r="C39" t="inlineStr">
        <is>
          <t>Gewoon nieuwe data ONDER bestaande plakken in CSV Import</t>
        </is>
      </c>
    </row>
    <row r="40">
      <c r="A40" s="6" t="inlineStr">
        <is>
          <t>✓ Duplicaten</t>
        </is>
      </c>
      <c r="C40" t="inlineStr">
        <is>
          <t>Sorteer op datum en verwijder handmatig dubbele rijen</t>
        </is>
      </c>
    </row>
    <row r="41">
      <c r="A41" s="6" t="inlineStr">
        <is>
          <t>✓ Aanpassen</t>
        </is>
      </c>
      <c r="C41" t="inlineStr">
        <is>
          <t>Je kunt alles handmatig aanpassen in 'Data Verwerkt'</t>
        </is>
      </c>
    </row>
    <row r="42">
      <c r="A42" t="inlineStr"/>
      <c r="C42" t="inlineStr"/>
    </row>
    <row r="43">
      <c r="A43" t="inlineStr"/>
      <c r="C43" t="inlineStr"/>
    </row>
    <row r="44">
      <c r="A44" s="3" t="inlineStr">
        <is>
          <t>🔒 PRIVACY:</t>
        </is>
      </c>
      <c r="C44" t="inlineStr"/>
    </row>
    <row r="45">
      <c r="A45" t="inlineStr"/>
      <c r="C45" t="inlineStr"/>
    </row>
    <row r="46">
      <c r="A46" t="inlineStr"/>
      <c r="C46" t="inlineStr">
        <is>
          <t>✅ 100% LOKAAL - Alles blijft op jouw computer</t>
        </is>
      </c>
    </row>
    <row r="47">
      <c r="A47" t="inlineStr"/>
      <c r="C47" t="inlineStr">
        <is>
          <t>✅ GEEN internet verbinding nodig</t>
        </is>
      </c>
    </row>
    <row r="48">
      <c r="A48" t="inlineStr"/>
      <c r="C48" t="inlineStr">
        <is>
          <t>✅ GEEN macro's of VBA code</t>
        </is>
      </c>
    </row>
    <row r="49">
      <c r="A49" t="inlineStr"/>
      <c r="C49" t="inlineStr">
        <is>
          <t>✅ GEEN installatie van software</t>
        </is>
      </c>
    </row>
    <row r="50">
      <c r="A50" t="inlineStr"/>
      <c r="C50" t="inlineStr">
        <is>
          <t>✅ Gewoon Excel formules</t>
        </is>
      </c>
    </row>
    <row r="51">
      <c r="A51" t="inlineStr"/>
      <c r="C51" t="inlineStr"/>
    </row>
    <row r="52">
      <c r="A52" t="inlineStr"/>
      <c r="C52" t="inlineStr"/>
    </row>
    <row r="53">
      <c r="A53" s="3" t="inlineStr">
        <is>
          <t>⚠️ BELANGRIJK:</t>
        </is>
      </c>
      <c r="C53" t="inlineStr"/>
    </row>
    <row r="54">
      <c r="A54" t="inlineStr"/>
      <c r="C54" t="inlineStr"/>
    </row>
    <row r="55">
      <c r="A55" t="inlineStr"/>
      <c r="C55" t="inlineStr">
        <is>
          <t>• Dit bestand gebruikt ALLEEN Excel formules (geen macro's)</t>
        </is>
      </c>
    </row>
    <row r="56">
      <c r="A56" t="inlineStr"/>
      <c r="C56" t="inlineStr">
        <is>
          <t>• Werkt in elke Excel versie 2016+</t>
        </is>
      </c>
    </row>
    <row r="57">
      <c r="A57" t="inlineStr"/>
      <c r="C57" t="inlineStr">
        <is>
          <t>• Ook compatible met Google Sheets (met kleine aanpassingen)</t>
        </is>
      </c>
    </row>
    <row r="58">
      <c r="A58" t="inlineStr"/>
      <c r="C58" t="inlineStr">
        <is>
          <t>• Sla regelmatig op (Ctrl+S)!</t>
        </is>
      </c>
    </row>
    <row r="59">
      <c r="A59" t="inlineStr"/>
      <c r="C59" t="inlineStr"/>
    </row>
    <row r="60">
      <c r="A60" t="inlineStr"/>
      <c r="C60" t="inlineStr"/>
    </row>
    <row r="61">
      <c r="A61" t="inlineStr">
        <is>
          <t>🆘 PROBLEMEN?</t>
        </is>
      </c>
      <c r="C61" t="inlineStr"/>
    </row>
    <row r="62">
      <c r="A62" t="inlineStr"/>
      <c r="C62" t="inlineStr"/>
    </row>
    <row r="63">
      <c r="A63" s="7" t="inlineStr">
        <is>
          <t>❓ Formules werken niet</t>
        </is>
      </c>
      <c r="C63" t="inlineStr">
        <is>
          <t>Check of je data in CSV Import begint bij A1</t>
        </is>
      </c>
    </row>
    <row r="64">
      <c r="A64" s="7" t="inlineStr">
        <is>
          <t>❓ Categorieën kloppen niet</t>
        </is>
      </c>
      <c r="C64" t="inlineStr">
        <is>
          <t>Pas 'Categorieregels' sheet aan en formules updaten automatisch</t>
        </is>
      </c>
    </row>
    <row r="65">
      <c r="A65" s="7" t="inlineStr">
        <is>
          <t>❓ Datum niet herkend</t>
        </is>
      </c>
      <c r="C65" t="inlineStr">
        <is>
          <t>Zorg dat datums in formaat DD-MM-YYYY of YYYY-MM-DD staan</t>
        </is>
      </c>
    </row>
    <row r="66">
      <c r="A66" s="7" t="inlineStr">
        <is>
          <t>❓ Dashboard leeg</t>
        </is>
      </c>
      <c r="C66" t="inlineStr">
        <is>
          <t>Check of 'Data Verwerkt' data bevat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25" customWidth="1" min="4" max="4"/>
  </cols>
  <sheetData>
    <row r="1" ht="25" customHeight="1">
      <c r="A1" s="8" t="inlineStr">
        <is>
          <t>👇 PLAK JE CSV DATA HIER (vanaf cel A1)</t>
        </is>
      </c>
    </row>
    <row r="2" ht="30" customHeight="1">
      <c r="A2" s="9" t="inlineStr">
        <is>
          <t>Instructies: Open je CSV in Notepad → Selecteer ALLES (Ctrl+A) → Kopieer (Ctrl+C) → Plak HIER in cel A3 (Ctrl+V)</t>
        </is>
      </c>
    </row>
    <row r="4">
      <c r="A4" s="10" t="inlineStr">
        <is>
          <t>Datum</t>
        </is>
      </c>
      <c r="B4" s="10" t="inlineStr">
        <is>
          <t>Omschrijving</t>
        </is>
      </c>
      <c r="C4" s="10" t="inlineStr">
        <is>
          <t>Bedrag</t>
        </is>
      </c>
      <c r="D4" s="10" t="inlineStr">
        <is>
          <t>Tegenrekening</t>
        </is>
      </c>
    </row>
    <row r="5">
      <c r="A5" s="11" t="inlineStr">
        <is>
          <t>2025-01-23</t>
        </is>
      </c>
      <c r="B5" s="11" t="inlineStr">
        <is>
          <t>Albert Heijn Amsterdam</t>
        </is>
      </c>
      <c r="C5" s="11" t="inlineStr">
        <is>
          <t>-45.67</t>
        </is>
      </c>
      <c r="D5" s="11" t="inlineStr">
        <is>
          <t>NL12ABNA0123456789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12" t="inlineStr">
        <is>
          <t>Patroon</t>
        </is>
      </c>
      <c r="B1" s="12" t="inlineStr">
        <is>
          <t>Categorie</t>
        </is>
      </c>
      <c r="C1" s="12" t="inlineStr">
        <is>
          <t>Subcategorie</t>
        </is>
      </c>
      <c r="D1" s="12" t="inlineStr">
        <is>
          <t>Notitie</t>
        </is>
      </c>
    </row>
    <row r="2">
      <c r="A2" t="inlineStr">
        <is>
          <t>Albert Heijn</t>
        </is>
      </c>
      <c r="B2" t="inlineStr">
        <is>
          <t>Boodschappen</t>
        </is>
      </c>
      <c r="C2" t="inlineStr">
        <is>
          <t>Supermarkt</t>
        </is>
      </c>
      <c r="D2" t="inlineStr">
        <is>
          <t>AH</t>
        </is>
      </c>
    </row>
    <row r="3">
      <c r="A3" t="inlineStr">
        <is>
          <t xml:space="preserve">AH </t>
        </is>
      </c>
      <c r="B3" t="inlineStr">
        <is>
          <t>Boodschappen</t>
        </is>
      </c>
      <c r="C3" t="inlineStr">
        <is>
          <t>Supermarkt</t>
        </is>
      </c>
      <c r="D3" t="inlineStr">
        <is>
          <t>Albert Heijn kort</t>
        </is>
      </c>
    </row>
    <row r="4">
      <c r="A4" t="inlineStr">
        <is>
          <t>Jumbo</t>
        </is>
      </c>
      <c r="B4" t="inlineStr">
        <is>
          <t>Boodschappen</t>
        </is>
      </c>
      <c r="C4" t="inlineStr">
        <is>
          <t>Supermarkt</t>
        </is>
      </c>
      <c r="D4" t="inlineStr"/>
    </row>
    <row r="5">
      <c r="A5" t="inlineStr">
        <is>
          <t>Lidl</t>
        </is>
      </c>
      <c r="B5" t="inlineStr">
        <is>
          <t>Boodschappen</t>
        </is>
      </c>
      <c r="C5" t="inlineStr">
        <is>
          <t>Supermarkt</t>
        </is>
      </c>
      <c r="D5" t="inlineStr"/>
    </row>
    <row r="6">
      <c r="A6" t="inlineStr">
        <is>
          <t>Aldi</t>
        </is>
      </c>
      <c r="B6" t="inlineStr">
        <is>
          <t>Boodschappen</t>
        </is>
      </c>
      <c r="C6" t="inlineStr">
        <is>
          <t>Supermarkt</t>
        </is>
      </c>
      <c r="D6" t="inlineStr"/>
    </row>
    <row r="7">
      <c r="A7" t="inlineStr">
        <is>
          <t>Etos</t>
        </is>
      </c>
      <c r="B7" t="inlineStr">
        <is>
          <t>Boodschappen</t>
        </is>
      </c>
      <c r="C7" t="inlineStr">
        <is>
          <t>Drogist</t>
        </is>
      </c>
      <c r="D7" t="inlineStr"/>
    </row>
    <row r="8">
      <c r="A8" t="inlineStr">
        <is>
          <t>Kruidvat</t>
        </is>
      </c>
      <c r="B8" t="inlineStr">
        <is>
          <t>Boodschappen</t>
        </is>
      </c>
      <c r="C8" t="inlineStr">
        <is>
          <t>Drogist</t>
        </is>
      </c>
      <c r="D8" t="inlineStr"/>
    </row>
    <row r="9">
      <c r="A9" t="inlineStr">
        <is>
          <t>Shell</t>
        </is>
      </c>
      <c r="B9" t="inlineStr">
        <is>
          <t>Vervoer</t>
        </is>
      </c>
      <c r="C9" t="inlineStr">
        <is>
          <t>Brandstof</t>
        </is>
      </c>
      <c r="D9" t="inlineStr"/>
    </row>
    <row r="10">
      <c r="A10" t="inlineStr">
        <is>
          <t>BP</t>
        </is>
      </c>
      <c r="B10" t="inlineStr">
        <is>
          <t>Vervoer</t>
        </is>
      </c>
      <c r="C10" t="inlineStr">
        <is>
          <t>Brandstof</t>
        </is>
      </c>
      <c r="D10" t="inlineStr"/>
    </row>
    <row r="11">
      <c r="A11" t="inlineStr">
        <is>
          <t>Esso</t>
        </is>
      </c>
      <c r="B11" t="inlineStr">
        <is>
          <t>Vervoer</t>
        </is>
      </c>
      <c r="C11" t="inlineStr">
        <is>
          <t>Brandstof</t>
        </is>
      </c>
      <c r="D11" t="inlineStr"/>
    </row>
    <row r="12">
      <c r="A12" t="inlineStr">
        <is>
          <t>NS</t>
        </is>
      </c>
      <c r="B12" t="inlineStr">
        <is>
          <t>Vervoer</t>
        </is>
      </c>
      <c r="C12" t="inlineStr">
        <is>
          <t>OV</t>
        </is>
      </c>
      <c r="D12" t="inlineStr">
        <is>
          <t>Nederlandse Spoorwegen</t>
        </is>
      </c>
    </row>
    <row r="13">
      <c r="A13" t="inlineStr">
        <is>
          <t>OV-chip</t>
        </is>
      </c>
      <c r="B13" t="inlineStr">
        <is>
          <t>Vervoer</t>
        </is>
      </c>
      <c r="C13" t="inlineStr">
        <is>
          <t>OV</t>
        </is>
      </c>
      <c r="D13" t="inlineStr"/>
    </row>
    <row r="14">
      <c r="A14" t="inlineStr">
        <is>
          <t>Ziggo</t>
        </is>
      </c>
      <c r="B14" t="inlineStr">
        <is>
          <t>Abonnementen</t>
        </is>
      </c>
      <c r="C14" t="inlineStr">
        <is>
          <t>Internet</t>
        </is>
      </c>
      <c r="D14" t="inlineStr"/>
    </row>
    <row r="15">
      <c r="A15" t="inlineStr">
        <is>
          <t>KPN</t>
        </is>
      </c>
      <c r="B15" t="inlineStr">
        <is>
          <t>Abonnementen</t>
        </is>
      </c>
      <c r="C15" t="inlineStr">
        <is>
          <t>Internet</t>
        </is>
      </c>
      <c r="D15" t="inlineStr"/>
    </row>
    <row r="16">
      <c r="A16" t="inlineStr">
        <is>
          <t>Netflix</t>
        </is>
      </c>
      <c r="B16" t="inlineStr">
        <is>
          <t>Abonnementen</t>
        </is>
      </c>
      <c r="C16" t="inlineStr">
        <is>
          <t>Entertainment</t>
        </is>
      </c>
      <c r="D16" t="inlineStr"/>
    </row>
    <row r="17">
      <c r="A17" t="inlineStr">
        <is>
          <t>Spotify</t>
        </is>
      </c>
      <c r="B17" t="inlineStr">
        <is>
          <t>Abonnementen</t>
        </is>
      </c>
      <c r="C17" t="inlineStr">
        <is>
          <t>Entertainment</t>
        </is>
      </c>
      <c r="D17" t="inlineStr"/>
    </row>
    <row r="18">
      <c r="A18" t="inlineStr">
        <is>
          <t>Amazon</t>
        </is>
      </c>
      <c r="B18" t="inlineStr">
        <is>
          <t>Online Shopping</t>
        </is>
      </c>
      <c r="C18" t="inlineStr"/>
      <c r="D18" t="inlineStr"/>
    </row>
    <row r="19">
      <c r="A19" t="inlineStr">
        <is>
          <t>Bol.com</t>
        </is>
      </c>
      <c r="B19" t="inlineStr">
        <is>
          <t>Online Shopping</t>
        </is>
      </c>
      <c r="C19" t="inlineStr"/>
      <c r="D19" t="inlineStr"/>
    </row>
    <row r="20">
      <c r="A20" t="inlineStr">
        <is>
          <t>Coolblue</t>
        </is>
      </c>
      <c r="B20" t="inlineStr">
        <is>
          <t>Online Shopping</t>
        </is>
      </c>
      <c r="C20" t="inlineStr"/>
      <c r="D20" t="inlineStr"/>
    </row>
    <row r="21">
      <c r="A21" t="inlineStr">
        <is>
          <t>MediaMarkt</t>
        </is>
      </c>
      <c r="B21" t="inlineStr">
        <is>
          <t>Elektronica</t>
        </is>
      </c>
      <c r="C21" t="inlineStr"/>
      <c r="D21" t="inlineStr"/>
    </row>
    <row r="22">
      <c r="A22" t="inlineStr">
        <is>
          <t>Huur</t>
        </is>
      </c>
      <c r="B22" t="inlineStr">
        <is>
          <t>Wonen</t>
        </is>
      </c>
      <c r="C22" t="inlineStr">
        <is>
          <t>Huur</t>
        </is>
      </c>
      <c r="D22" t="inlineStr"/>
    </row>
    <row r="23">
      <c r="A23" t="inlineStr">
        <is>
          <t>Hypotheek</t>
        </is>
      </c>
      <c r="B23" t="inlineStr">
        <is>
          <t>Wonen</t>
        </is>
      </c>
      <c r="C23" t="inlineStr">
        <is>
          <t>Hypotheek</t>
        </is>
      </c>
      <c r="D23" t="inlineStr"/>
    </row>
    <row r="24">
      <c r="A24" t="inlineStr">
        <is>
          <t>Energie</t>
        </is>
      </c>
      <c r="B24" t="inlineStr">
        <is>
          <t>Wonen</t>
        </is>
      </c>
      <c r="C24" t="inlineStr">
        <is>
          <t>Utilities</t>
        </is>
      </c>
      <c r="D24" t="inlineStr"/>
    </row>
    <row r="25">
      <c r="A25" t="inlineStr">
        <is>
          <t>Waternet</t>
        </is>
      </c>
      <c r="B25" t="inlineStr">
        <is>
          <t>Wonen</t>
        </is>
      </c>
      <c r="C25" t="inlineStr">
        <is>
          <t>Utilities</t>
        </is>
      </c>
      <c r="D25" t="inlineStr"/>
    </row>
    <row r="26">
      <c r="A26" t="inlineStr">
        <is>
          <t>IKEA</t>
        </is>
      </c>
      <c r="B26" t="inlineStr">
        <is>
          <t>Wonen</t>
        </is>
      </c>
      <c r="C26" t="inlineStr">
        <is>
          <t>Inrichting</t>
        </is>
      </c>
      <c r="D26" t="inlineStr"/>
    </row>
    <row r="27">
      <c r="A27" t="inlineStr">
        <is>
          <t>Apotheek</t>
        </is>
      </c>
      <c r="B27" t="inlineStr">
        <is>
          <t>Gezondheid</t>
        </is>
      </c>
      <c r="C27" t="inlineStr">
        <is>
          <t>Medisch</t>
        </is>
      </c>
      <c r="D27" t="inlineStr"/>
    </row>
    <row r="28">
      <c r="A28" t="inlineStr">
        <is>
          <t>Tandarts</t>
        </is>
      </c>
      <c r="B28" t="inlineStr">
        <is>
          <t>Gezondheid</t>
        </is>
      </c>
      <c r="C28" t="inlineStr">
        <is>
          <t>Medisch</t>
        </is>
      </c>
      <c r="D28" t="inlineStr"/>
    </row>
    <row r="29">
      <c r="A29" t="inlineStr">
        <is>
          <t>Huisarts</t>
        </is>
      </c>
      <c r="B29" t="inlineStr">
        <is>
          <t>Gezondheid</t>
        </is>
      </c>
      <c r="C29" t="inlineStr">
        <is>
          <t>Medisch</t>
        </is>
      </c>
      <c r="D29" t="inlineStr"/>
    </row>
    <row r="30">
      <c r="A30" t="inlineStr">
        <is>
          <t>Zorgverzekering</t>
        </is>
      </c>
      <c r="B30" t="inlineStr">
        <is>
          <t>Verzekeringen</t>
        </is>
      </c>
      <c r="C30" t="inlineStr">
        <is>
          <t>Zorg</t>
        </is>
      </c>
      <c r="D30" t="inlineStr"/>
    </row>
    <row r="31">
      <c r="A31" t="inlineStr">
        <is>
          <t>Restaurant</t>
        </is>
      </c>
      <c r="B31" t="inlineStr">
        <is>
          <t>Horeca</t>
        </is>
      </c>
      <c r="C31" t="inlineStr">
        <is>
          <t>Restaurant</t>
        </is>
      </c>
      <c r="D31" t="inlineStr"/>
    </row>
    <row r="32">
      <c r="A32" t="inlineStr">
        <is>
          <t>McDonald</t>
        </is>
      </c>
      <c r="B32" t="inlineStr">
        <is>
          <t>Horeca</t>
        </is>
      </c>
      <c r="C32" t="inlineStr">
        <is>
          <t>Fast Food</t>
        </is>
      </c>
      <c r="D32" t="inlineStr"/>
    </row>
    <row r="33">
      <c r="A33" t="inlineStr">
        <is>
          <t>Burger King</t>
        </is>
      </c>
      <c r="B33" t="inlineStr">
        <is>
          <t>Horeca</t>
        </is>
      </c>
      <c r="C33" t="inlineStr">
        <is>
          <t>Fast Food</t>
        </is>
      </c>
      <c r="D33" t="inlineStr"/>
    </row>
    <row r="34">
      <c r="A34" t="inlineStr">
        <is>
          <t>Cafe</t>
        </is>
      </c>
      <c r="B34" t="inlineStr">
        <is>
          <t>Horeca</t>
        </is>
      </c>
      <c r="C34" t="inlineStr">
        <is>
          <t>Café</t>
        </is>
      </c>
      <c r="D34" t="inlineStr"/>
    </row>
    <row r="35">
      <c r="A35" t="inlineStr">
        <is>
          <t>Bakker</t>
        </is>
      </c>
      <c r="B35" t="inlineStr">
        <is>
          <t>Horeca</t>
        </is>
      </c>
      <c r="C35" t="inlineStr">
        <is>
          <t>Bakkerij</t>
        </is>
      </c>
      <c r="D35" t="inlineStr"/>
    </row>
    <row r="36">
      <c r="A36" t="inlineStr">
        <is>
          <t>Action</t>
        </is>
      </c>
      <c r="B36" t="inlineStr">
        <is>
          <t>Winkels</t>
        </is>
      </c>
      <c r="C36" t="inlineStr">
        <is>
          <t>Gemengd</t>
        </is>
      </c>
      <c r="D36" t="inlineStr"/>
    </row>
    <row r="37">
      <c r="A37" t="inlineStr">
        <is>
          <t>HEMA</t>
        </is>
      </c>
      <c r="B37" t="inlineStr">
        <is>
          <t>Winkels</t>
        </is>
      </c>
      <c r="C37" t="inlineStr">
        <is>
          <t>Warenhuis</t>
        </is>
      </c>
      <c r="D37" t="inlineStr"/>
    </row>
    <row r="38">
      <c r="A38" t="inlineStr">
        <is>
          <t>Salaris</t>
        </is>
      </c>
      <c r="B38" t="inlineStr">
        <is>
          <t>Inkomsten</t>
        </is>
      </c>
      <c r="C38" t="inlineStr">
        <is>
          <t>Salaris</t>
        </is>
      </c>
      <c r="D38" t="inlineStr"/>
    </row>
    <row r="39">
      <c r="A39" t="inlineStr">
        <is>
          <t>Loon</t>
        </is>
      </c>
      <c r="B39" t="inlineStr">
        <is>
          <t>Inkomsten</t>
        </is>
      </c>
      <c r="C39" t="inlineStr">
        <is>
          <t>Salaris</t>
        </is>
      </c>
      <c r="D39" t="inlineStr"/>
    </row>
    <row r="40">
      <c r="A40" t="inlineStr">
        <is>
          <t>Terugstorting</t>
        </is>
      </c>
      <c r="B40" t="inlineStr">
        <is>
          <t>Inkomsten</t>
        </is>
      </c>
      <c r="C40" t="inlineStr">
        <is>
          <t>Terugbetaling</t>
        </is>
      </c>
      <c r="D40" t="inlineStr"/>
    </row>
    <row r="41">
      <c r="A41" t="inlineStr">
        <is>
          <t>Belasting</t>
        </is>
      </c>
      <c r="B41" t="inlineStr">
        <is>
          <t>Inkomsten</t>
        </is>
      </c>
      <c r="C41" t="inlineStr">
        <is>
          <t>Terugave</t>
        </is>
      </c>
      <c r="D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8" customWidth="1" min="5" max="5"/>
    <col width="12" customWidth="1" min="6" max="6"/>
    <col width="15" customWidth="1" min="7" max="7"/>
    <col width="12" customWidth="1" min="8" max="8"/>
    <col width="12" customWidth="1" min="9" max="9"/>
    <col width="20" customWidth="1" min="10" max="10"/>
    <col width="20" customWidth="1" min="11" max="11"/>
  </cols>
  <sheetData>
    <row r="1">
      <c r="A1" s="13" t="inlineStr">
        <is>
          <t>Datum</t>
        </is>
      </c>
      <c r="B1" s="13" t="inlineStr">
        <is>
          <t>Omschrijving</t>
        </is>
      </c>
      <c r="C1" s="13" t="inlineStr">
        <is>
          <t>Bedrag</t>
        </is>
      </c>
      <c r="D1" s="13" t="inlineStr">
        <is>
          <t>Tegenrekening</t>
        </is>
      </c>
      <c r="E1" s="13" t="inlineStr">
        <is>
          <t>Jaar</t>
        </is>
      </c>
      <c r="F1" s="13" t="inlineStr">
        <is>
          <t>Maand</t>
        </is>
      </c>
      <c r="G1" s="13" t="inlineStr">
        <is>
          <t>MaandNaam</t>
        </is>
      </c>
      <c r="H1" s="13" t="inlineStr">
        <is>
          <t>InUit</t>
        </is>
      </c>
      <c r="I1" s="13" t="inlineStr">
        <is>
          <t>BedragAbs</t>
        </is>
      </c>
      <c r="J1" s="13" t="inlineStr">
        <is>
          <t>Categorie</t>
        </is>
      </c>
      <c r="K1" s="13" t="inlineStr">
        <is>
          <t>Subcategorie</t>
        </is>
      </c>
    </row>
    <row r="2">
      <c r="A2">
        <f>'📥 CSV Import'!A5</f>
        <v/>
      </c>
      <c r="B2">
        <f>'📥 CSV Import'!B5</f>
        <v/>
      </c>
      <c r="C2">
        <f>'📥 CSV Import'!C5</f>
        <v/>
      </c>
      <c r="D2">
        <f>'📥 CSV Import'!D5</f>
        <v/>
      </c>
      <c r="E2">
        <f>IF(A2&lt;&gt;"",YEAR(A2),"")</f>
        <v/>
      </c>
      <c r="F2">
        <f>IF(A2&lt;&gt;"",TEXT(A2,"YYYY-MM"),"")</f>
        <v/>
      </c>
      <c r="G2">
        <f>IF(A2&lt;&gt;"",TEXT(A2,"MMMM YYYY"),"")</f>
        <v/>
      </c>
      <c r="H2">
        <f>IF(C2&gt;0,"Inkomsten",IF(C2&lt;0,"Uitgaven",""))</f>
        <v/>
      </c>
      <c r="I2">
        <f>IF(C2&lt;&gt;"",ABS(C2),"")</f>
        <v/>
      </c>
      <c r="J2">
        <f>IFERROR(INDEX('🏷️ Categorieregels'!$B:$B,MATCH(TRUE,ISNUMBER(SEARCH('🏷️ Categorieregels'!$A:$A,B2)),0)),"Onbekend")</f>
        <v/>
      </c>
      <c r="K2">
        <f>IFERROR(INDEX('🏷️ Categorieregels'!$C:$C,MATCH(TRUE,ISNUMBER(SEARCH('🏷️ Categorieregels'!$A:$A,B2)),0)),"")</f>
        <v/>
      </c>
    </row>
    <row r="3">
      <c r="A3">
        <f>'📥 CSV Import'!A6</f>
        <v/>
      </c>
      <c r="B3">
        <f>'📥 CSV Import'!B6</f>
        <v/>
      </c>
      <c r="C3">
        <f>'📥 CSV Import'!C6</f>
        <v/>
      </c>
      <c r="D3">
        <f>'📥 CSV Import'!D6</f>
        <v/>
      </c>
      <c r="E3">
        <f>IF(A3&lt;&gt;"",YEAR(A3),"")</f>
        <v/>
      </c>
      <c r="F3">
        <f>IF(A3&lt;&gt;"",TEXT(A3,"YYYY-MM"),"")</f>
        <v/>
      </c>
      <c r="G3">
        <f>IF(A3&lt;&gt;"",TEXT(A3,"MMMM YYYY"),"")</f>
        <v/>
      </c>
      <c r="H3">
        <f>IF(C3&gt;0,"Inkomsten",IF(C3&lt;0,"Uitgaven",""))</f>
        <v/>
      </c>
      <c r="I3">
        <f>IF(C3&lt;&gt;"",ABS(C3),"")</f>
        <v/>
      </c>
      <c r="J3">
        <f>IFERROR(INDEX('🏷️ Categorieregels'!$B:$B,MATCH(TRUE,ISNUMBER(SEARCH('🏷️ Categorieregels'!$A:$A,B3)),0)),"Onbekend")</f>
        <v/>
      </c>
      <c r="K3">
        <f>IFERROR(INDEX('🏷️ Categorieregels'!$C:$C,MATCH(TRUE,ISNUMBER(SEARCH('🏷️ Categorieregels'!$A:$A,B3)),0)),"")</f>
        <v/>
      </c>
    </row>
    <row r="4">
      <c r="A4">
        <f>'📥 CSV Import'!A7</f>
        <v/>
      </c>
      <c r="B4">
        <f>'📥 CSV Import'!B7</f>
        <v/>
      </c>
      <c r="C4">
        <f>'📥 CSV Import'!C7</f>
        <v/>
      </c>
      <c r="D4">
        <f>'📥 CSV Import'!D7</f>
        <v/>
      </c>
      <c r="E4">
        <f>IF(A4&lt;&gt;"",YEAR(A4),"")</f>
        <v/>
      </c>
      <c r="F4">
        <f>IF(A4&lt;&gt;"",TEXT(A4,"YYYY-MM"),"")</f>
        <v/>
      </c>
      <c r="G4">
        <f>IF(A4&lt;&gt;"",TEXT(A4,"MMMM YYYY"),"")</f>
        <v/>
      </c>
      <c r="H4">
        <f>IF(C4&gt;0,"Inkomsten",IF(C4&lt;0,"Uitgaven",""))</f>
        <v/>
      </c>
      <c r="I4">
        <f>IF(C4&lt;&gt;"",ABS(C4),"")</f>
        <v/>
      </c>
      <c r="J4">
        <f>IFERROR(INDEX('🏷️ Categorieregels'!$B:$B,MATCH(TRUE,ISNUMBER(SEARCH('🏷️ Categorieregels'!$A:$A,B4)),0)),"Onbekend")</f>
        <v/>
      </c>
      <c r="K4">
        <f>IFERROR(INDEX('🏷️ Categorieregels'!$C:$C,MATCH(TRUE,ISNUMBER(SEARCH('🏷️ Categorieregels'!$A:$A,B4)),0)),"")</f>
        <v/>
      </c>
    </row>
    <row r="5">
      <c r="A5">
        <f>'📥 CSV Import'!A8</f>
        <v/>
      </c>
      <c r="B5">
        <f>'📥 CSV Import'!B8</f>
        <v/>
      </c>
      <c r="C5">
        <f>'📥 CSV Import'!C8</f>
        <v/>
      </c>
      <c r="D5">
        <f>'📥 CSV Import'!D8</f>
        <v/>
      </c>
      <c r="E5">
        <f>IF(A5&lt;&gt;"",YEAR(A5),"")</f>
        <v/>
      </c>
      <c r="F5">
        <f>IF(A5&lt;&gt;"",TEXT(A5,"YYYY-MM"),"")</f>
        <v/>
      </c>
      <c r="G5">
        <f>IF(A5&lt;&gt;"",TEXT(A5,"MMMM YYYY"),"")</f>
        <v/>
      </c>
      <c r="H5">
        <f>IF(C5&gt;0,"Inkomsten",IF(C5&lt;0,"Uitgaven",""))</f>
        <v/>
      </c>
      <c r="I5">
        <f>IF(C5&lt;&gt;"",ABS(C5),"")</f>
        <v/>
      </c>
      <c r="J5">
        <f>IFERROR(INDEX('🏷️ Categorieregels'!$B:$B,MATCH(TRUE,ISNUMBER(SEARCH('🏷️ Categorieregels'!$A:$A,B5)),0)),"Onbekend")</f>
        <v/>
      </c>
      <c r="K5">
        <f>IFERROR(INDEX('🏷️ Categorieregels'!$C:$C,MATCH(TRUE,ISNUMBER(SEARCH('🏷️ Categorieregels'!$A:$A,B5)),0)),"")</f>
        <v/>
      </c>
    </row>
    <row r="6">
      <c r="A6">
        <f>'📥 CSV Import'!A9</f>
        <v/>
      </c>
      <c r="B6">
        <f>'📥 CSV Import'!B9</f>
        <v/>
      </c>
      <c r="C6">
        <f>'📥 CSV Import'!C9</f>
        <v/>
      </c>
      <c r="D6">
        <f>'📥 CSV Import'!D9</f>
        <v/>
      </c>
      <c r="E6">
        <f>IF(A6&lt;&gt;"",YEAR(A6),"")</f>
        <v/>
      </c>
      <c r="F6">
        <f>IF(A6&lt;&gt;"",TEXT(A6,"YYYY-MM"),"")</f>
        <v/>
      </c>
      <c r="G6">
        <f>IF(A6&lt;&gt;"",TEXT(A6,"MMMM YYYY"),"")</f>
        <v/>
      </c>
      <c r="H6">
        <f>IF(C6&gt;0,"Inkomsten",IF(C6&lt;0,"Uitgaven",""))</f>
        <v/>
      </c>
      <c r="I6">
        <f>IF(C6&lt;&gt;"",ABS(C6),"")</f>
        <v/>
      </c>
      <c r="J6">
        <f>IFERROR(INDEX('🏷️ Categorieregels'!$B:$B,MATCH(TRUE,ISNUMBER(SEARCH('🏷️ Categorieregels'!$A:$A,B6)),0)),"Onbekend")</f>
        <v/>
      </c>
      <c r="K6">
        <f>IFERROR(INDEX('🏷️ Categorieregels'!$C:$C,MATCH(TRUE,ISNUMBER(SEARCH('🏷️ Categorieregels'!$A:$A,B6)),0)),"")</f>
        <v/>
      </c>
    </row>
    <row r="7">
      <c r="A7">
        <f>'📥 CSV Import'!A10</f>
        <v/>
      </c>
      <c r="B7">
        <f>'📥 CSV Import'!B10</f>
        <v/>
      </c>
      <c r="C7">
        <f>'📥 CSV Import'!C10</f>
        <v/>
      </c>
      <c r="D7">
        <f>'📥 CSV Import'!D10</f>
        <v/>
      </c>
      <c r="E7">
        <f>IF(A7&lt;&gt;"",YEAR(A7),"")</f>
        <v/>
      </c>
      <c r="F7">
        <f>IF(A7&lt;&gt;"",TEXT(A7,"YYYY-MM"),"")</f>
        <v/>
      </c>
      <c r="G7">
        <f>IF(A7&lt;&gt;"",TEXT(A7,"MMMM YYYY"),"")</f>
        <v/>
      </c>
      <c r="H7">
        <f>IF(C7&gt;0,"Inkomsten",IF(C7&lt;0,"Uitgaven",""))</f>
        <v/>
      </c>
      <c r="I7">
        <f>IF(C7&lt;&gt;"",ABS(C7),"")</f>
        <v/>
      </c>
      <c r="J7">
        <f>IFERROR(INDEX('🏷️ Categorieregels'!$B:$B,MATCH(TRUE,ISNUMBER(SEARCH('🏷️ Categorieregels'!$A:$A,B7)),0)),"Onbekend")</f>
        <v/>
      </c>
      <c r="K7">
        <f>IFERROR(INDEX('🏷️ Categorieregels'!$C:$C,MATCH(TRUE,ISNUMBER(SEARCH('🏷️ Categorieregels'!$A:$A,B7)),0)),"")</f>
        <v/>
      </c>
    </row>
    <row r="8">
      <c r="A8">
        <f>'📥 CSV Import'!A11</f>
        <v/>
      </c>
      <c r="B8">
        <f>'📥 CSV Import'!B11</f>
        <v/>
      </c>
      <c r="C8">
        <f>'📥 CSV Import'!C11</f>
        <v/>
      </c>
      <c r="D8">
        <f>'📥 CSV Import'!D11</f>
        <v/>
      </c>
      <c r="E8">
        <f>IF(A8&lt;&gt;"",YEAR(A8),"")</f>
        <v/>
      </c>
      <c r="F8">
        <f>IF(A8&lt;&gt;"",TEXT(A8,"YYYY-MM"),"")</f>
        <v/>
      </c>
      <c r="G8">
        <f>IF(A8&lt;&gt;"",TEXT(A8,"MMMM YYYY"),"")</f>
        <v/>
      </c>
      <c r="H8">
        <f>IF(C8&gt;0,"Inkomsten",IF(C8&lt;0,"Uitgaven",""))</f>
        <v/>
      </c>
      <c r="I8">
        <f>IF(C8&lt;&gt;"",ABS(C8),"")</f>
        <v/>
      </c>
      <c r="J8">
        <f>IFERROR(INDEX('🏷️ Categorieregels'!$B:$B,MATCH(TRUE,ISNUMBER(SEARCH('🏷️ Categorieregels'!$A:$A,B8)),0)),"Onbekend")</f>
        <v/>
      </c>
      <c r="K8">
        <f>IFERROR(INDEX('🏷️ Categorieregels'!$C:$C,MATCH(TRUE,ISNUMBER(SEARCH('🏷️ Categorieregels'!$A:$A,B8)),0)),"")</f>
        <v/>
      </c>
    </row>
    <row r="9">
      <c r="A9">
        <f>'📥 CSV Import'!A12</f>
        <v/>
      </c>
      <c r="B9">
        <f>'📥 CSV Import'!B12</f>
        <v/>
      </c>
      <c r="C9">
        <f>'📥 CSV Import'!C12</f>
        <v/>
      </c>
      <c r="D9">
        <f>'📥 CSV Import'!D12</f>
        <v/>
      </c>
      <c r="E9">
        <f>IF(A9&lt;&gt;"",YEAR(A9),"")</f>
        <v/>
      </c>
      <c r="F9">
        <f>IF(A9&lt;&gt;"",TEXT(A9,"YYYY-MM"),"")</f>
        <v/>
      </c>
      <c r="G9">
        <f>IF(A9&lt;&gt;"",TEXT(A9,"MMMM YYYY"),"")</f>
        <v/>
      </c>
      <c r="H9">
        <f>IF(C9&gt;0,"Inkomsten",IF(C9&lt;0,"Uitgaven",""))</f>
        <v/>
      </c>
      <c r="I9">
        <f>IF(C9&lt;&gt;"",ABS(C9),"")</f>
        <v/>
      </c>
      <c r="J9">
        <f>IFERROR(INDEX('🏷️ Categorieregels'!$B:$B,MATCH(TRUE,ISNUMBER(SEARCH('🏷️ Categorieregels'!$A:$A,B9)),0)),"Onbekend")</f>
        <v/>
      </c>
      <c r="K9">
        <f>IFERROR(INDEX('🏷️ Categorieregels'!$C:$C,MATCH(TRUE,ISNUMBER(SEARCH('🏷️ Categorieregels'!$A:$A,B9)),0)),"")</f>
        <v/>
      </c>
    </row>
    <row r="10">
      <c r="A10">
        <f>'📥 CSV Import'!A13</f>
        <v/>
      </c>
      <c r="B10">
        <f>'📥 CSV Import'!B13</f>
        <v/>
      </c>
      <c r="C10">
        <f>'📥 CSV Import'!C13</f>
        <v/>
      </c>
      <c r="D10">
        <f>'📥 CSV Import'!D13</f>
        <v/>
      </c>
      <c r="E10">
        <f>IF(A10&lt;&gt;"",YEAR(A10),"")</f>
        <v/>
      </c>
      <c r="F10">
        <f>IF(A10&lt;&gt;"",TEXT(A10,"YYYY-MM"),"")</f>
        <v/>
      </c>
      <c r="G10">
        <f>IF(A10&lt;&gt;"",TEXT(A10,"MMMM YYYY"),"")</f>
        <v/>
      </c>
      <c r="H10">
        <f>IF(C10&gt;0,"Inkomsten",IF(C10&lt;0,"Uitgaven",""))</f>
        <v/>
      </c>
      <c r="I10">
        <f>IF(C10&lt;&gt;"",ABS(C10),"")</f>
        <v/>
      </c>
      <c r="J10">
        <f>IFERROR(INDEX('🏷️ Categorieregels'!$B:$B,MATCH(TRUE,ISNUMBER(SEARCH('🏷️ Categorieregels'!$A:$A,B10)),0)),"Onbekend")</f>
        <v/>
      </c>
      <c r="K10">
        <f>IFERROR(INDEX('🏷️ Categorieregels'!$C:$C,MATCH(TRUE,ISNUMBER(SEARCH('🏷️ Categorieregels'!$A:$A,B10)),0)),"")</f>
        <v/>
      </c>
    </row>
    <row r="11">
      <c r="A11">
        <f>'📥 CSV Import'!A14</f>
        <v/>
      </c>
      <c r="B11">
        <f>'📥 CSV Import'!B14</f>
        <v/>
      </c>
      <c r="C11">
        <f>'📥 CSV Import'!C14</f>
        <v/>
      </c>
      <c r="D11">
        <f>'📥 CSV Import'!D14</f>
        <v/>
      </c>
      <c r="E11">
        <f>IF(A11&lt;&gt;"",YEAR(A11),"")</f>
        <v/>
      </c>
      <c r="F11">
        <f>IF(A11&lt;&gt;"",TEXT(A11,"YYYY-MM"),"")</f>
        <v/>
      </c>
      <c r="G11">
        <f>IF(A11&lt;&gt;"",TEXT(A11,"MMMM YYYY"),"")</f>
        <v/>
      </c>
      <c r="H11">
        <f>IF(C11&gt;0,"Inkomsten",IF(C11&lt;0,"Uitgaven",""))</f>
        <v/>
      </c>
      <c r="I11">
        <f>IF(C11&lt;&gt;"",ABS(C11),"")</f>
        <v/>
      </c>
      <c r="J11">
        <f>IFERROR(INDEX('🏷️ Categorieregels'!$B:$B,MATCH(TRUE,ISNUMBER(SEARCH('🏷️ Categorieregels'!$A:$A,B11)),0)),"Onbekend")</f>
        <v/>
      </c>
      <c r="K11">
        <f>IFERROR(INDEX('🏷️ Categorieregels'!$C:$C,MATCH(TRUE,ISNUMBER(SEARCH('🏷️ Categorieregels'!$A:$A,B11)),0)),"")</f>
        <v/>
      </c>
    </row>
    <row r="12">
      <c r="A12">
        <f>'📥 CSV Import'!A15</f>
        <v/>
      </c>
      <c r="B12">
        <f>'📥 CSV Import'!B15</f>
        <v/>
      </c>
      <c r="C12">
        <f>'📥 CSV Import'!C15</f>
        <v/>
      </c>
      <c r="D12">
        <f>'📥 CSV Import'!D15</f>
        <v/>
      </c>
      <c r="E12">
        <f>IF(A12&lt;&gt;"",YEAR(A12),"")</f>
        <v/>
      </c>
      <c r="F12">
        <f>IF(A12&lt;&gt;"",TEXT(A12,"YYYY-MM"),"")</f>
        <v/>
      </c>
      <c r="G12">
        <f>IF(A12&lt;&gt;"",TEXT(A12,"MMMM YYYY"),"")</f>
        <v/>
      </c>
      <c r="H12">
        <f>IF(C12&gt;0,"Inkomsten",IF(C12&lt;0,"Uitgaven",""))</f>
        <v/>
      </c>
      <c r="I12">
        <f>IF(C12&lt;&gt;"",ABS(C12),"")</f>
        <v/>
      </c>
      <c r="J12">
        <f>IFERROR(INDEX('🏷️ Categorieregels'!$B:$B,MATCH(TRUE,ISNUMBER(SEARCH('🏷️ Categorieregels'!$A:$A,B12)),0)),"Onbekend")</f>
        <v/>
      </c>
      <c r="K12">
        <f>IFERROR(INDEX('🏷️ Categorieregels'!$C:$C,MATCH(TRUE,ISNUMBER(SEARCH('🏷️ Categorieregels'!$A:$A,B12)),0)),"")</f>
        <v/>
      </c>
    </row>
    <row r="13">
      <c r="A13">
        <f>'📥 CSV Import'!A16</f>
        <v/>
      </c>
      <c r="B13">
        <f>'📥 CSV Import'!B16</f>
        <v/>
      </c>
      <c r="C13">
        <f>'📥 CSV Import'!C16</f>
        <v/>
      </c>
      <c r="D13">
        <f>'📥 CSV Import'!D16</f>
        <v/>
      </c>
      <c r="E13">
        <f>IF(A13&lt;&gt;"",YEAR(A13),"")</f>
        <v/>
      </c>
      <c r="F13">
        <f>IF(A13&lt;&gt;"",TEXT(A13,"YYYY-MM"),"")</f>
        <v/>
      </c>
      <c r="G13">
        <f>IF(A13&lt;&gt;"",TEXT(A13,"MMMM YYYY"),"")</f>
        <v/>
      </c>
      <c r="H13">
        <f>IF(C13&gt;0,"Inkomsten",IF(C13&lt;0,"Uitgaven",""))</f>
        <v/>
      </c>
      <c r="I13">
        <f>IF(C13&lt;&gt;"",ABS(C13),"")</f>
        <v/>
      </c>
      <c r="J13">
        <f>IFERROR(INDEX('🏷️ Categorieregels'!$B:$B,MATCH(TRUE,ISNUMBER(SEARCH('🏷️ Categorieregels'!$A:$A,B13)),0)),"Onbekend")</f>
        <v/>
      </c>
      <c r="K13">
        <f>IFERROR(INDEX('🏷️ Categorieregels'!$C:$C,MATCH(TRUE,ISNUMBER(SEARCH('🏷️ Categorieregels'!$A:$A,B13)),0)),"")</f>
        <v/>
      </c>
    </row>
    <row r="14">
      <c r="A14">
        <f>'📥 CSV Import'!A17</f>
        <v/>
      </c>
      <c r="B14">
        <f>'📥 CSV Import'!B17</f>
        <v/>
      </c>
      <c r="C14">
        <f>'📥 CSV Import'!C17</f>
        <v/>
      </c>
      <c r="D14">
        <f>'📥 CSV Import'!D17</f>
        <v/>
      </c>
      <c r="E14">
        <f>IF(A14&lt;&gt;"",YEAR(A14),"")</f>
        <v/>
      </c>
      <c r="F14">
        <f>IF(A14&lt;&gt;"",TEXT(A14,"YYYY-MM"),"")</f>
        <v/>
      </c>
      <c r="G14">
        <f>IF(A14&lt;&gt;"",TEXT(A14,"MMMM YYYY"),"")</f>
        <v/>
      </c>
      <c r="H14">
        <f>IF(C14&gt;0,"Inkomsten",IF(C14&lt;0,"Uitgaven",""))</f>
        <v/>
      </c>
      <c r="I14">
        <f>IF(C14&lt;&gt;"",ABS(C14),"")</f>
        <v/>
      </c>
      <c r="J14">
        <f>IFERROR(INDEX('🏷️ Categorieregels'!$B:$B,MATCH(TRUE,ISNUMBER(SEARCH('🏷️ Categorieregels'!$A:$A,B14)),0)),"Onbekend")</f>
        <v/>
      </c>
      <c r="K14">
        <f>IFERROR(INDEX('🏷️ Categorieregels'!$C:$C,MATCH(TRUE,ISNUMBER(SEARCH('🏷️ Categorieregels'!$A:$A,B14)),0)),"")</f>
        <v/>
      </c>
    </row>
    <row r="15">
      <c r="A15">
        <f>'📥 CSV Import'!A18</f>
        <v/>
      </c>
      <c r="B15">
        <f>'📥 CSV Import'!B18</f>
        <v/>
      </c>
      <c r="C15">
        <f>'📥 CSV Import'!C18</f>
        <v/>
      </c>
      <c r="D15">
        <f>'📥 CSV Import'!D18</f>
        <v/>
      </c>
      <c r="E15">
        <f>IF(A15&lt;&gt;"",YEAR(A15),"")</f>
        <v/>
      </c>
      <c r="F15">
        <f>IF(A15&lt;&gt;"",TEXT(A15,"YYYY-MM"),"")</f>
        <v/>
      </c>
      <c r="G15">
        <f>IF(A15&lt;&gt;"",TEXT(A15,"MMMM YYYY"),"")</f>
        <v/>
      </c>
      <c r="H15">
        <f>IF(C15&gt;0,"Inkomsten",IF(C15&lt;0,"Uitgaven",""))</f>
        <v/>
      </c>
      <c r="I15">
        <f>IF(C15&lt;&gt;"",ABS(C15),"")</f>
        <v/>
      </c>
      <c r="J15">
        <f>IFERROR(INDEX('🏷️ Categorieregels'!$B:$B,MATCH(TRUE,ISNUMBER(SEARCH('🏷️ Categorieregels'!$A:$A,B15)),0)),"Onbekend")</f>
        <v/>
      </c>
      <c r="K15">
        <f>IFERROR(INDEX('🏷️ Categorieregels'!$C:$C,MATCH(TRUE,ISNUMBER(SEARCH('🏷️ Categorieregels'!$A:$A,B15)),0)),"")</f>
        <v/>
      </c>
    </row>
    <row r="16">
      <c r="A16">
        <f>'📥 CSV Import'!A19</f>
        <v/>
      </c>
      <c r="B16">
        <f>'📥 CSV Import'!B19</f>
        <v/>
      </c>
      <c r="C16">
        <f>'📥 CSV Import'!C19</f>
        <v/>
      </c>
      <c r="D16">
        <f>'📥 CSV Import'!D19</f>
        <v/>
      </c>
      <c r="E16">
        <f>IF(A16&lt;&gt;"",YEAR(A16),"")</f>
        <v/>
      </c>
      <c r="F16">
        <f>IF(A16&lt;&gt;"",TEXT(A16,"YYYY-MM"),"")</f>
        <v/>
      </c>
      <c r="G16">
        <f>IF(A16&lt;&gt;"",TEXT(A16,"MMMM YYYY"),"")</f>
        <v/>
      </c>
      <c r="H16">
        <f>IF(C16&gt;0,"Inkomsten",IF(C16&lt;0,"Uitgaven",""))</f>
        <v/>
      </c>
      <c r="I16">
        <f>IF(C16&lt;&gt;"",ABS(C16),"")</f>
        <v/>
      </c>
      <c r="J16">
        <f>IFERROR(INDEX('🏷️ Categorieregels'!$B:$B,MATCH(TRUE,ISNUMBER(SEARCH('🏷️ Categorieregels'!$A:$A,B16)),0)),"Onbekend")</f>
        <v/>
      </c>
      <c r="K16">
        <f>IFERROR(INDEX('🏷️ Categorieregels'!$C:$C,MATCH(TRUE,ISNUMBER(SEARCH('🏷️ Categorieregels'!$A:$A,B16)),0)),"")</f>
        <v/>
      </c>
    </row>
    <row r="17">
      <c r="A17">
        <f>'📥 CSV Import'!A20</f>
        <v/>
      </c>
      <c r="B17">
        <f>'📥 CSV Import'!B20</f>
        <v/>
      </c>
      <c r="C17">
        <f>'📥 CSV Import'!C20</f>
        <v/>
      </c>
      <c r="D17">
        <f>'📥 CSV Import'!D20</f>
        <v/>
      </c>
      <c r="E17">
        <f>IF(A17&lt;&gt;"",YEAR(A17),"")</f>
        <v/>
      </c>
      <c r="F17">
        <f>IF(A17&lt;&gt;"",TEXT(A17,"YYYY-MM"),"")</f>
        <v/>
      </c>
      <c r="G17">
        <f>IF(A17&lt;&gt;"",TEXT(A17,"MMMM YYYY"),"")</f>
        <v/>
      </c>
      <c r="H17">
        <f>IF(C17&gt;0,"Inkomsten",IF(C17&lt;0,"Uitgaven",""))</f>
        <v/>
      </c>
      <c r="I17">
        <f>IF(C17&lt;&gt;"",ABS(C17),"")</f>
        <v/>
      </c>
      <c r="J17">
        <f>IFERROR(INDEX('🏷️ Categorieregels'!$B:$B,MATCH(TRUE,ISNUMBER(SEARCH('🏷️ Categorieregels'!$A:$A,B17)),0)),"Onbekend")</f>
        <v/>
      </c>
      <c r="K17">
        <f>IFERROR(INDEX('🏷️ Categorieregels'!$C:$C,MATCH(TRUE,ISNUMBER(SEARCH('🏷️ Categorieregels'!$A:$A,B17)),0)),"")</f>
        <v/>
      </c>
    </row>
    <row r="18">
      <c r="A18">
        <f>'📥 CSV Import'!A21</f>
        <v/>
      </c>
      <c r="B18">
        <f>'📥 CSV Import'!B21</f>
        <v/>
      </c>
      <c r="C18">
        <f>'📥 CSV Import'!C21</f>
        <v/>
      </c>
      <c r="D18">
        <f>'📥 CSV Import'!D21</f>
        <v/>
      </c>
      <c r="E18">
        <f>IF(A18&lt;&gt;"",YEAR(A18),"")</f>
        <v/>
      </c>
      <c r="F18">
        <f>IF(A18&lt;&gt;"",TEXT(A18,"YYYY-MM"),"")</f>
        <v/>
      </c>
      <c r="G18">
        <f>IF(A18&lt;&gt;"",TEXT(A18,"MMMM YYYY"),"")</f>
        <v/>
      </c>
      <c r="H18">
        <f>IF(C18&gt;0,"Inkomsten",IF(C18&lt;0,"Uitgaven",""))</f>
        <v/>
      </c>
      <c r="I18">
        <f>IF(C18&lt;&gt;"",ABS(C18),"")</f>
        <v/>
      </c>
      <c r="J18">
        <f>IFERROR(INDEX('🏷️ Categorieregels'!$B:$B,MATCH(TRUE,ISNUMBER(SEARCH('🏷️ Categorieregels'!$A:$A,B18)),0)),"Onbekend")</f>
        <v/>
      </c>
      <c r="K18">
        <f>IFERROR(INDEX('🏷️ Categorieregels'!$C:$C,MATCH(TRUE,ISNUMBER(SEARCH('🏷️ Categorieregels'!$A:$A,B18)),0)),"")</f>
        <v/>
      </c>
    </row>
    <row r="19">
      <c r="A19">
        <f>'📥 CSV Import'!A22</f>
        <v/>
      </c>
      <c r="B19">
        <f>'📥 CSV Import'!B22</f>
        <v/>
      </c>
      <c r="C19">
        <f>'📥 CSV Import'!C22</f>
        <v/>
      </c>
      <c r="D19">
        <f>'📥 CSV Import'!D22</f>
        <v/>
      </c>
      <c r="E19">
        <f>IF(A19&lt;&gt;"",YEAR(A19),"")</f>
        <v/>
      </c>
      <c r="F19">
        <f>IF(A19&lt;&gt;"",TEXT(A19,"YYYY-MM"),"")</f>
        <v/>
      </c>
      <c r="G19">
        <f>IF(A19&lt;&gt;"",TEXT(A19,"MMMM YYYY"),"")</f>
        <v/>
      </c>
      <c r="H19">
        <f>IF(C19&gt;0,"Inkomsten",IF(C19&lt;0,"Uitgaven",""))</f>
        <v/>
      </c>
      <c r="I19">
        <f>IF(C19&lt;&gt;"",ABS(C19),"")</f>
        <v/>
      </c>
      <c r="J19">
        <f>IFERROR(INDEX('🏷️ Categorieregels'!$B:$B,MATCH(TRUE,ISNUMBER(SEARCH('🏷️ Categorieregels'!$A:$A,B19)),0)),"Onbekend")</f>
        <v/>
      </c>
      <c r="K19">
        <f>IFERROR(INDEX('🏷️ Categorieregels'!$C:$C,MATCH(TRUE,ISNUMBER(SEARCH('🏷️ Categorieregels'!$A:$A,B19)),0)),"")</f>
        <v/>
      </c>
    </row>
    <row r="20">
      <c r="A20">
        <f>'📥 CSV Import'!A23</f>
        <v/>
      </c>
      <c r="B20">
        <f>'📥 CSV Import'!B23</f>
        <v/>
      </c>
      <c r="C20">
        <f>'📥 CSV Import'!C23</f>
        <v/>
      </c>
      <c r="D20">
        <f>'📥 CSV Import'!D23</f>
        <v/>
      </c>
      <c r="E20">
        <f>IF(A20&lt;&gt;"",YEAR(A20),"")</f>
        <v/>
      </c>
      <c r="F20">
        <f>IF(A20&lt;&gt;"",TEXT(A20,"YYYY-MM"),"")</f>
        <v/>
      </c>
      <c r="G20">
        <f>IF(A20&lt;&gt;"",TEXT(A20,"MMMM YYYY"),"")</f>
        <v/>
      </c>
      <c r="H20">
        <f>IF(C20&gt;0,"Inkomsten",IF(C20&lt;0,"Uitgaven",""))</f>
        <v/>
      </c>
      <c r="I20">
        <f>IF(C20&lt;&gt;"",ABS(C20),"")</f>
        <v/>
      </c>
      <c r="J20">
        <f>IFERROR(INDEX('🏷️ Categorieregels'!$B:$B,MATCH(TRUE,ISNUMBER(SEARCH('🏷️ Categorieregels'!$A:$A,B20)),0)),"Onbekend")</f>
        <v/>
      </c>
      <c r="K20">
        <f>IFERROR(INDEX('🏷️ Categorieregels'!$C:$C,MATCH(TRUE,ISNUMBER(SEARCH('🏷️ Categorieregels'!$A:$A,B20)),0)),"")</f>
        <v/>
      </c>
    </row>
    <row r="21">
      <c r="A21">
        <f>'📥 CSV Import'!A24</f>
        <v/>
      </c>
      <c r="B21">
        <f>'📥 CSV Import'!B24</f>
        <v/>
      </c>
      <c r="C21">
        <f>'📥 CSV Import'!C24</f>
        <v/>
      </c>
      <c r="D21">
        <f>'📥 CSV Import'!D24</f>
        <v/>
      </c>
      <c r="E21">
        <f>IF(A21&lt;&gt;"",YEAR(A21),"")</f>
        <v/>
      </c>
      <c r="F21">
        <f>IF(A21&lt;&gt;"",TEXT(A21,"YYYY-MM"),"")</f>
        <v/>
      </c>
      <c r="G21">
        <f>IF(A21&lt;&gt;"",TEXT(A21,"MMMM YYYY"),"")</f>
        <v/>
      </c>
      <c r="H21">
        <f>IF(C21&gt;0,"Inkomsten",IF(C21&lt;0,"Uitgaven",""))</f>
        <v/>
      </c>
      <c r="I21">
        <f>IF(C21&lt;&gt;"",ABS(C21),"")</f>
        <v/>
      </c>
      <c r="J21">
        <f>IFERROR(INDEX('🏷️ Categorieregels'!$B:$B,MATCH(TRUE,ISNUMBER(SEARCH('🏷️ Categorieregels'!$A:$A,B21)),0)),"Onbekend")</f>
        <v/>
      </c>
      <c r="K21">
        <f>IFERROR(INDEX('🏷️ Categorieregels'!$C:$C,MATCH(TRUE,ISNUMBER(SEARCH('🏷️ Categorieregels'!$A:$A,B21)),0)),"")</f>
        <v/>
      </c>
    </row>
    <row r="22">
      <c r="A22">
        <f>'📥 CSV Import'!A25</f>
        <v/>
      </c>
      <c r="B22">
        <f>'📥 CSV Import'!B25</f>
        <v/>
      </c>
      <c r="C22">
        <f>'📥 CSV Import'!C25</f>
        <v/>
      </c>
      <c r="D22">
        <f>'📥 CSV Import'!D25</f>
        <v/>
      </c>
      <c r="E22">
        <f>IF(A22&lt;&gt;"",YEAR(A22),"")</f>
        <v/>
      </c>
      <c r="F22">
        <f>IF(A22&lt;&gt;"",TEXT(A22,"YYYY-MM"),"")</f>
        <v/>
      </c>
      <c r="G22">
        <f>IF(A22&lt;&gt;"",TEXT(A22,"MMMM YYYY"),"")</f>
        <v/>
      </c>
      <c r="H22">
        <f>IF(C22&gt;0,"Inkomsten",IF(C22&lt;0,"Uitgaven",""))</f>
        <v/>
      </c>
      <c r="I22">
        <f>IF(C22&lt;&gt;"",ABS(C22),"")</f>
        <v/>
      </c>
      <c r="J22">
        <f>IFERROR(INDEX('🏷️ Categorieregels'!$B:$B,MATCH(TRUE,ISNUMBER(SEARCH('🏷️ Categorieregels'!$A:$A,B22)),0)),"Onbekend")</f>
        <v/>
      </c>
      <c r="K22">
        <f>IFERROR(INDEX('🏷️ Categorieregels'!$C:$C,MATCH(TRUE,ISNUMBER(SEARCH('🏷️ Categorieregels'!$A:$A,B22)),0)),"")</f>
        <v/>
      </c>
    </row>
    <row r="23">
      <c r="A23">
        <f>'📥 CSV Import'!A26</f>
        <v/>
      </c>
      <c r="B23">
        <f>'📥 CSV Import'!B26</f>
        <v/>
      </c>
      <c r="C23">
        <f>'📥 CSV Import'!C26</f>
        <v/>
      </c>
      <c r="D23">
        <f>'📥 CSV Import'!D26</f>
        <v/>
      </c>
      <c r="E23">
        <f>IF(A23&lt;&gt;"",YEAR(A23),"")</f>
        <v/>
      </c>
      <c r="F23">
        <f>IF(A23&lt;&gt;"",TEXT(A23,"YYYY-MM"),"")</f>
        <v/>
      </c>
      <c r="G23">
        <f>IF(A23&lt;&gt;"",TEXT(A23,"MMMM YYYY"),"")</f>
        <v/>
      </c>
      <c r="H23">
        <f>IF(C23&gt;0,"Inkomsten",IF(C23&lt;0,"Uitgaven",""))</f>
        <v/>
      </c>
      <c r="I23">
        <f>IF(C23&lt;&gt;"",ABS(C23),"")</f>
        <v/>
      </c>
      <c r="J23">
        <f>IFERROR(INDEX('🏷️ Categorieregels'!$B:$B,MATCH(TRUE,ISNUMBER(SEARCH('🏷️ Categorieregels'!$A:$A,B23)),0)),"Onbekend")</f>
        <v/>
      </c>
      <c r="K23">
        <f>IFERROR(INDEX('🏷️ Categorieregels'!$C:$C,MATCH(TRUE,ISNUMBER(SEARCH('🏷️ Categorieregels'!$A:$A,B23)),0)),"")</f>
        <v/>
      </c>
    </row>
    <row r="24">
      <c r="A24">
        <f>'📥 CSV Import'!A27</f>
        <v/>
      </c>
      <c r="B24">
        <f>'📥 CSV Import'!B27</f>
        <v/>
      </c>
      <c r="C24">
        <f>'📥 CSV Import'!C27</f>
        <v/>
      </c>
      <c r="D24">
        <f>'📥 CSV Import'!D27</f>
        <v/>
      </c>
      <c r="E24">
        <f>IF(A24&lt;&gt;"",YEAR(A24),"")</f>
        <v/>
      </c>
      <c r="F24">
        <f>IF(A24&lt;&gt;"",TEXT(A24,"YYYY-MM"),"")</f>
        <v/>
      </c>
      <c r="G24">
        <f>IF(A24&lt;&gt;"",TEXT(A24,"MMMM YYYY"),"")</f>
        <v/>
      </c>
      <c r="H24">
        <f>IF(C24&gt;0,"Inkomsten",IF(C24&lt;0,"Uitgaven",""))</f>
        <v/>
      </c>
      <c r="I24">
        <f>IF(C24&lt;&gt;"",ABS(C24),"")</f>
        <v/>
      </c>
      <c r="J24">
        <f>IFERROR(INDEX('🏷️ Categorieregels'!$B:$B,MATCH(TRUE,ISNUMBER(SEARCH('🏷️ Categorieregels'!$A:$A,B24)),0)),"Onbekend")</f>
        <v/>
      </c>
      <c r="K24">
        <f>IFERROR(INDEX('🏷️ Categorieregels'!$C:$C,MATCH(TRUE,ISNUMBER(SEARCH('🏷️ Categorieregels'!$A:$A,B24)),0)),"")</f>
        <v/>
      </c>
    </row>
    <row r="25">
      <c r="A25">
        <f>'📥 CSV Import'!A28</f>
        <v/>
      </c>
      <c r="B25">
        <f>'📥 CSV Import'!B28</f>
        <v/>
      </c>
      <c r="C25">
        <f>'📥 CSV Import'!C28</f>
        <v/>
      </c>
      <c r="D25">
        <f>'📥 CSV Import'!D28</f>
        <v/>
      </c>
      <c r="E25">
        <f>IF(A25&lt;&gt;"",YEAR(A25),"")</f>
        <v/>
      </c>
      <c r="F25">
        <f>IF(A25&lt;&gt;"",TEXT(A25,"YYYY-MM"),"")</f>
        <v/>
      </c>
      <c r="G25">
        <f>IF(A25&lt;&gt;"",TEXT(A25,"MMMM YYYY"),"")</f>
        <v/>
      </c>
      <c r="H25">
        <f>IF(C25&gt;0,"Inkomsten",IF(C25&lt;0,"Uitgaven",""))</f>
        <v/>
      </c>
      <c r="I25">
        <f>IF(C25&lt;&gt;"",ABS(C25),"")</f>
        <v/>
      </c>
      <c r="J25">
        <f>IFERROR(INDEX('🏷️ Categorieregels'!$B:$B,MATCH(TRUE,ISNUMBER(SEARCH('🏷️ Categorieregels'!$A:$A,B25)),0)),"Onbekend")</f>
        <v/>
      </c>
      <c r="K25">
        <f>IFERROR(INDEX('🏷️ Categorieregels'!$C:$C,MATCH(TRUE,ISNUMBER(SEARCH('🏷️ Categorieregels'!$A:$A,B25)),0)),"")</f>
        <v/>
      </c>
    </row>
    <row r="26">
      <c r="A26">
        <f>'📥 CSV Import'!A29</f>
        <v/>
      </c>
      <c r="B26">
        <f>'📥 CSV Import'!B29</f>
        <v/>
      </c>
      <c r="C26">
        <f>'📥 CSV Import'!C29</f>
        <v/>
      </c>
      <c r="D26">
        <f>'📥 CSV Import'!D29</f>
        <v/>
      </c>
      <c r="E26">
        <f>IF(A26&lt;&gt;"",YEAR(A26),"")</f>
        <v/>
      </c>
      <c r="F26">
        <f>IF(A26&lt;&gt;"",TEXT(A26,"YYYY-MM"),"")</f>
        <v/>
      </c>
      <c r="G26">
        <f>IF(A26&lt;&gt;"",TEXT(A26,"MMMM YYYY"),"")</f>
        <v/>
      </c>
      <c r="H26">
        <f>IF(C26&gt;0,"Inkomsten",IF(C26&lt;0,"Uitgaven",""))</f>
        <v/>
      </c>
      <c r="I26">
        <f>IF(C26&lt;&gt;"",ABS(C26),"")</f>
        <v/>
      </c>
      <c r="J26">
        <f>IFERROR(INDEX('🏷️ Categorieregels'!$B:$B,MATCH(TRUE,ISNUMBER(SEARCH('🏷️ Categorieregels'!$A:$A,B26)),0)),"Onbekend")</f>
        <v/>
      </c>
      <c r="K26">
        <f>IFERROR(INDEX('🏷️ Categorieregels'!$C:$C,MATCH(TRUE,ISNUMBER(SEARCH('🏷️ Categorieregels'!$A:$A,B26)),0)),"")</f>
        <v/>
      </c>
    </row>
    <row r="27">
      <c r="A27">
        <f>'📥 CSV Import'!A30</f>
        <v/>
      </c>
      <c r="B27">
        <f>'📥 CSV Import'!B30</f>
        <v/>
      </c>
      <c r="C27">
        <f>'📥 CSV Import'!C30</f>
        <v/>
      </c>
      <c r="D27">
        <f>'📥 CSV Import'!D30</f>
        <v/>
      </c>
      <c r="E27">
        <f>IF(A27&lt;&gt;"",YEAR(A27),"")</f>
        <v/>
      </c>
      <c r="F27">
        <f>IF(A27&lt;&gt;"",TEXT(A27,"YYYY-MM"),"")</f>
        <v/>
      </c>
      <c r="G27">
        <f>IF(A27&lt;&gt;"",TEXT(A27,"MMMM YYYY"),"")</f>
        <v/>
      </c>
      <c r="H27">
        <f>IF(C27&gt;0,"Inkomsten",IF(C27&lt;0,"Uitgaven",""))</f>
        <v/>
      </c>
      <c r="I27">
        <f>IF(C27&lt;&gt;"",ABS(C27),"")</f>
        <v/>
      </c>
      <c r="J27">
        <f>IFERROR(INDEX('🏷️ Categorieregels'!$B:$B,MATCH(TRUE,ISNUMBER(SEARCH('🏷️ Categorieregels'!$A:$A,B27)),0)),"Onbekend")</f>
        <v/>
      </c>
      <c r="K27">
        <f>IFERROR(INDEX('🏷️ Categorieregels'!$C:$C,MATCH(TRUE,ISNUMBER(SEARCH('🏷️ Categorieregels'!$A:$A,B27)),0)),"")</f>
        <v/>
      </c>
    </row>
    <row r="28">
      <c r="A28">
        <f>'📥 CSV Import'!A31</f>
        <v/>
      </c>
      <c r="B28">
        <f>'📥 CSV Import'!B31</f>
        <v/>
      </c>
      <c r="C28">
        <f>'📥 CSV Import'!C31</f>
        <v/>
      </c>
      <c r="D28">
        <f>'📥 CSV Import'!D31</f>
        <v/>
      </c>
      <c r="E28">
        <f>IF(A28&lt;&gt;"",YEAR(A28),"")</f>
        <v/>
      </c>
      <c r="F28">
        <f>IF(A28&lt;&gt;"",TEXT(A28,"YYYY-MM"),"")</f>
        <v/>
      </c>
      <c r="G28">
        <f>IF(A28&lt;&gt;"",TEXT(A28,"MMMM YYYY"),"")</f>
        <v/>
      </c>
      <c r="H28">
        <f>IF(C28&gt;0,"Inkomsten",IF(C28&lt;0,"Uitgaven",""))</f>
        <v/>
      </c>
      <c r="I28">
        <f>IF(C28&lt;&gt;"",ABS(C28),"")</f>
        <v/>
      </c>
      <c r="J28">
        <f>IFERROR(INDEX('🏷️ Categorieregels'!$B:$B,MATCH(TRUE,ISNUMBER(SEARCH('🏷️ Categorieregels'!$A:$A,B28)),0)),"Onbekend")</f>
        <v/>
      </c>
      <c r="K28">
        <f>IFERROR(INDEX('🏷️ Categorieregels'!$C:$C,MATCH(TRUE,ISNUMBER(SEARCH('🏷️ Categorieregels'!$A:$A,B28)),0)),"")</f>
        <v/>
      </c>
    </row>
    <row r="29">
      <c r="A29">
        <f>'📥 CSV Import'!A32</f>
        <v/>
      </c>
      <c r="B29">
        <f>'📥 CSV Import'!B32</f>
        <v/>
      </c>
      <c r="C29">
        <f>'📥 CSV Import'!C32</f>
        <v/>
      </c>
      <c r="D29">
        <f>'📥 CSV Import'!D32</f>
        <v/>
      </c>
      <c r="E29">
        <f>IF(A29&lt;&gt;"",YEAR(A29),"")</f>
        <v/>
      </c>
      <c r="F29">
        <f>IF(A29&lt;&gt;"",TEXT(A29,"YYYY-MM"),"")</f>
        <v/>
      </c>
      <c r="G29">
        <f>IF(A29&lt;&gt;"",TEXT(A29,"MMMM YYYY"),"")</f>
        <v/>
      </c>
      <c r="H29">
        <f>IF(C29&gt;0,"Inkomsten",IF(C29&lt;0,"Uitgaven",""))</f>
        <v/>
      </c>
      <c r="I29">
        <f>IF(C29&lt;&gt;"",ABS(C29),"")</f>
        <v/>
      </c>
      <c r="J29">
        <f>IFERROR(INDEX('🏷️ Categorieregels'!$B:$B,MATCH(TRUE,ISNUMBER(SEARCH('🏷️ Categorieregels'!$A:$A,B29)),0)),"Onbekend")</f>
        <v/>
      </c>
      <c r="K29">
        <f>IFERROR(INDEX('🏷️ Categorieregels'!$C:$C,MATCH(TRUE,ISNUMBER(SEARCH('🏷️ Categorieregels'!$A:$A,B29)),0)),"")</f>
        <v/>
      </c>
    </row>
    <row r="30">
      <c r="A30">
        <f>'📥 CSV Import'!A33</f>
        <v/>
      </c>
      <c r="B30">
        <f>'📥 CSV Import'!B33</f>
        <v/>
      </c>
      <c r="C30">
        <f>'📥 CSV Import'!C33</f>
        <v/>
      </c>
      <c r="D30">
        <f>'📥 CSV Import'!D33</f>
        <v/>
      </c>
      <c r="E30">
        <f>IF(A30&lt;&gt;"",YEAR(A30),"")</f>
        <v/>
      </c>
      <c r="F30">
        <f>IF(A30&lt;&gt;"",TEXT(A30,"YYYY-MM"),"")</f>
        <v/>
      </c>
      <c r="G30">
        <f>IF(A30&lt;&gt;"",TEXT(A30,"MMMM YYYY"),"")</f>
        <v/>
      </c>
      <c r="H30">
        <f>IF(C30&gt;0,"Inkomsten",IF(C30&lt;0,"Uitgaven",""))</f>
        <v/>
      </c>
      <c r="I30">
        <f>IF(C30&lt;&gt;"",ABS(C30),"")</f>
        <v/>
      </c>
      <c r="J30">
        <f>IFERROR(INDEX('🏷️ Categorieregels'!$B:$B,MATCH(TRUE,ISNUMBER(SEARCH('🏷️ Categorieregels'!$A:$A,B30)),0)),"Onbekend")</f>
        <v/>
      </c>
      <c r="K30">
        <f>IFERROR(INDEX('🏷️ Categorieregels'!$C:$C,MATCH(TRUE,ISNUMBER(SEARCH('🏷️ Categorieregels'!$A:$A,B30)),0)),"")</f>
        <v/>
      </c>
    </row>
    <row r="31">
      <c r="A31">
        <f>'📥 CSV Import'!A34</f>
        <v/>
      </c>
      <c r="B31">
        <f>'📥 CSV Import'!B34</f>
        <v/>
      </c>
      <c r="C31">
        <f>'📥 CSV Import'!C34</f>
        <v/>
      </c>
      <c r="D31">
        <f>'📥 CSV Import'!D34</f>
        <v/>
      </c>
      <c r="E31">
        <f>IF(A31&lt;&gt;"",YEAR(A31),"")</f>
        <v/>
      </c>
      <c r="F31">
        <f>IF(A31&lt;&gt;"",TEXT(A31,"YYYY-MM"),"")</f>
        <v/>
      </c>
      <c r="G31">
        <f>IF(A31&lt;&gt;"",TEXT(A31,"MMMM YYYY"),"")</f>
        <v/>
      </c>
      <c r="H31">
        <f>IF(C31&gt;0,"Inkomsten",IF(C31&lt;0,"Uitgaven",""))</f>
        <v/>
      </c>
      <c r="I31">
        <f>IF(C31&lt;&gt;"",ABS(C31),"")</f>
        <v/>
      </c>
      <c r="J31">
        <f>IFERROR(INDEX('🏷️ Categorieregels'!$B:$B,MATCH(TRUE,ISNUMBER(SEARCH('🏷️ Categorieregels'!$A:$A,B31)),0)),"Onbekend")</f>
        <v/>
      </c>
      <c r="K31">
        <f>IFERROR(INDEX('🏷️ Categorieregels'!$C:$C,MATCH(TRUE,ISNUMBER(SEARCH('🏷️ Categorieregels'!$A:$A,B31)),0)),"")</f>
        <v/>
      </c>
    </row>
    <row r="32">
      <c r="A32">
        <f>'📥 CSV Import'!A35</f>
        <v/>
      </c>
      <c r="B32">
        <f>'📥 CSV Import'!B35</f>
        <v/>
      </c>
      <c r="C32">
        <f>'📥 CSV Import'!C35</f>
        <v/>
      </c>
      <c r="D32">
        <f>'📥 CSV Import'!D35</f>
        <v/>
      </c>
      <c r="E32">
        <f>IF(A32&lt;&gt;"",YEAR(A32),"")</f>
        <v/>
      </c>
      <c r="F32">
        <f>IF(A32&lt;&gt;"",TEXT(A32,"YYYY-MM"),"")</f>
        <v/>
      </c>
      <c r="G32">
        <f>IF(A32&lt;&gt;"",TEXT(A32,"MMMM YYYY"),"")</f>
        <v/>
      </c>
      <c r="H32">
        <f>IF(C32&gt;0,"Inkomsten",IF(C32&lt;0,"Uitgaven",""))</f>
        <v/>
      </c>
      <c r="I32">
        <f>IF(C32&lt;&gt;"",ABS(C32),"")</f>
        <v/>
      </c>
      <c r="J32">
        <f>IFERROR(INDEX('🏷️ Categorieregels'!$B:$B,MATCH(TRUE,ISNUMBER(SEARCH('🏷️ Categorieregels'!$A:$A,B32)),0)),"Onbekend")</f>
        <v/>
      </c>
      <c r="K32">
        <f>IFERROR(INDEX('🏷️ Categorieregels'!$C:$C,MATCH(TRUE,ISNUMBER(SEARCH('🏷️ Categorieregels'!$A:$A,B32)),0)),"")</f>
        <v/>
      </c>
    </row>
    <row r="33">
      <c r="A33">
        <f>'📥 CSV Import'!A36</f>
        <v/>
      </c>
      <c r="B33">
        <f>'📥 CSV Import'!B36</f>
        <v/>
      </c>
      <c r="C33">
        <f>'📥 CSV Import'!C36</f>
        <v/>
      </c>
      <c r="D33">
        <f>'📥 CSV Import'!D36</f>
        <v/>
      </c>
      <c r="E33">
        <f>IF(A33&lt;&gt;"",YEAR(A33),"")</f>
        <v/>
      </c>
      <c r="F33">
        <f>IF(A33&lt;&gt;"",TEXT(A33,"YYYY-MM"),"")</f>
        <v/>
      </c>
      <c r="G33">
        <f>IF(A33&lt;&gt;"",TEXT(A33,"MMMM YYYY"),"")</f>
        <v/>
      </c>
      <c r="H33">
        <f>IF(C33&gt;0,"Inkomsten",IF(C33&lt;0,"Uitgaven",""))</f>
        <v/>
      </c>
      <c r="I33">
        <f>IF(C33&lt;&gt;"",ABS(C33),"")</f>
        <v/>
      </c>
      <c r="J33">
        <f>IFERROR(INDEX('🏷️ Categorieregels'!$B:$B,MATCH(TRUE,ISNUMBER(SEARCH('🏷️ Categorieregels'!$A:$A,B33)),0)),"Onbekend")</f>
        <v/>
      </c>
      <c r="K33">
        <f>IFERROR(INDEX('🏷️ Categorieregels'!$C:$C,MATCH(TRUE,ISNUMBER(SEARCH('🏷️ Categorieregels'!$A:$A,B33)),0)),"")</f>
        <v/>
      </c>
    </row>
    <row r="34">
      <c r="A34">
        <f>'📥 CSV Import'!A37</f>
        <v/>
      </c>
      <c r="B34">
        <f>'📥 CSV Import'!B37</f>
        <v/>
      </c>
      <c r="C34">
        <f>'📥 CSV Import'!C37</f>
        <v/>
      </c>
      <c r="D34">
        <f>'📥 CSV Import'!D37</f>
        <v/>
      </c>
      <c r="E34">
        <f>IF(A34&lt;&gt;"",YEAR(A34),"")</f>
        <v/>
      </c>
      <c r="F34">
        <f>IF(A34&lt;&gt;"",TEXT(A34,"YYYY-MM"),"")</f>
        <v/>
      </c>
      <c r="G34">
        <f>IF(A34&lt;&gt;"",TEXT(A34,"MMMM YYYY"),"")</f>
        <v/>
      </c>
      <c r="H34">
        <f>IF(C34&gt;0,"Inkomsten",IF(C34&lt;0,"Uitgaven",""))</f>
        <v/>
      </c>
      <c r="I34">
        <f>IF(C34&lt;&gt;"",ABS(C34),"")</f>
        <v/>
      </c>
      <c r="J34">
        <f>IFERROR(INDEX('🏷️ Categorieregels'!$B:$B,MATCH(TRUE,ISNUMBER(SEARCH('🏷️ Categorieregels'!$A:$A,B34)),0)),"Onbekend")</f>
        <v/>
      </c>
      <c r="K34">
        <f>IFERROR(INDEX('🏷️ Categorieregels'!$C:$C,MATCH(TRUE,ISNUMBER(SEARCH('🏷️ Categorieregels'!$A:$A,B34)),0)),"")</f>
        <v/>
      </c>
    </row>
    <row r="35">
      <c r="A35">
        <f>'📥 CSV Import'!A38</f>
        <v/>
      </c>
      <c r="B35">
        <f>'📥 CSV Import'!B38</f>
        <v/>
      </c>
      <c r="C35">
        <f>'📥 CSV Import'!C38</f>
        <v/>
      </c>
      <c r="D35">
        <f>'📥 CSV Import'!D38</f>
        <v/>
      </c>
      <c r="E35">
        <f>IF(A35&lt;&gt;"",YEAR(A35),"")</f>
        <v/>
      </c>
      <c r="F35">
        <f>IF(A35&lt;&gt;"",TEXT(A35,"YYYY-MM"),"")</f>
        <v/>
      </c>
      <c r="G35">
        <f>IF(A35&lt;&gt;"",TEXT(A35,"MMMM YYYY"),"")</f>
        <v/>
      </c>
      <c r="H35">
        <f>IF(C35&gt;0,"Inkomsten",IF(C35&lt;0,"Uitgaven",""))</f>
        <v/>
      </c>
      <c r="I35">
        <f>IF(C35&lt;&gt;"",ABS(C35),"")</f>
        <v/>
      </c>
      <c r="J35">
        <f>IFERROR(INDEX('🏷️ Categorieregels'!$B:$B,MATCH(TRUE,ISNUMBER(SEARCH('🏷️ Categorieregels'!$A:$A,B35)),0)),"Onbekend")</f>
        <v/>
      </c>
      <c r="K35">
        <f>IFERROR(INDEX('🏷️ Categorieregels'!$C:$C,MATCH(TRUE,ISNUMBER(SEARCH('🏷️ Categorieregels'!$A:$A,B35)),0)),"")</f>
        <v/>
      </c>
    </row>
    <row r="36">
      <c r="A36">
        <f>'📥 CSV Import'!A39</f>
        <v/>
      </c>
      <c r="B36">
        <f>'📥 CSV Import'!B39</f>
        <v/>
      </c>
      <c r="C36">
        <f>'📥 CSV Import'!C39</f>
        <v/>
      </c>
      <c r="D36">
        <f>'📥 CSV Import'!D39</f>
        <v/>
      </c>
      <c r="E36">
        <f>IF(A36&lt;&gt;"",YEAR(A36),"")</f>
        <v/>
      </c>
      <c r="F36">
        <f>IF(A36&lt;&gt;"",TEXT(A36,"YYYY-MM"),"")</f>
        <v/>
      </c>
      <c r="G36">
        <f>IF(A36&lt;&gt;"",TEXT(A36,"MMMM YYYY"),"")</f>
        <v/>
      </c>
      <c r="H36">
        <f>IF(C36&gt;0,"Inkomsten",IF(C36&lt;0,"Uitgaven",""))</f>
        <v/>
      </c>
      <c r="I36">
        <f>IF(C36&lt;&gt;"",ABS(C36),"")</f>
        <v/>
      </c>
      <c r="J36">
        <f>IFERROR(INDEX('🏷️ Categorieregels'!$B:$B,MATCH(TRUE,ISNUMBER(SEARCH('🏷️ Categorieregels'!$A:$A,B36)),0)),"Onbekend")</f>
        <v/>
      </c>
      <c r="K36">
        <f>IFERROR(INDEX('🏷️ Categorieregels'!$C:$C,MATCH(TRUE,ISNUMBER(SEARCH('🏷️ Categorieregels'!$A:$A,B36)),0)),"")</f>
        <v/>
      </c>
    </row>
    <row r="37">
      <c r="A37">
        <f>'📥 CSV Import'!A40</f>
        <v/>
      </c>
      <c r="B37">
        <f>'📥 CSV Import'!B40</f>
        <v/>
      </c>
      <c r="C37">
        <f>'📥 CSV Import'!C40</f>
        <v/>
      </c>
      <c r="D37">
        <f>'📥 CSV Import'!D40</f>
        <v/>
      </c>
      <c r="E37">
        <f>IF(A37&lt;&gt;"",YEAR(A37),"")</f>
        <v/>
      </c>
      <c r="F37">
        <f>IF(A37&lt;&gt;"",TEXT(A37,"YYYY-MM"),"")</f>
        <v/>
      </c>
      <c r="G37">
        <f>IF(A37&lt;&gt;"",TEXT(A37,"MMMM YYYY"),"")</f>
        <v/>
      </c>
      <c r="H37">
        <f>IF(C37&gt;0,"Inkomsten",IF(C37&lt;0,"Uitgaven",""))</f>
        <v/>
      </c>
      <c r="I37">
        <f>IF(C37&lt;&gt;"",ABS(C37),"")</f>
        <v/>
      </c>
      <c r="J37">
        <f>IFERROR(INDEX('🏷️ Categorieregels'!$B:$B,MATCH(TRUE,ISNUMBER(SEARCH('🏷️ Categorieregels'!$A:$A,B37)),0)),"Onbekend")</f>
        <v/>
      </c>
      <c r="K37">
        <f>IFERROR(INDEX('🏷️ Categorieregels'!$C:$C,MATCH(TRUE,ISNUMBER(SEARCH('🏷️ Categorieregels'!$A:$A,B37)),0)),"")</f>
        <v/>
      </c>
    </row>
    <row r="38">
      <c r="A38">
        <f>'📥 CSV Import'!A41</f>
        <v/>
      </c>
      <c r="B38">
        <f>'📥 CSV Import'!B41</f>
        <v/>
      </c>
      <c r="C38">
        <f>'📥 CSV Import'!C41</f>
        <v/>
      </c>
      <c r="D38">
        <f>'📥 CSV Import'!D41</f>
        <v/>
      </c>
      <c r="E38">
        <f>IF(A38&lt;&gt;"",YEAR(A38),"")</f>
        <v/>
      </c>
      <c r="F38">
        <f>IF(A38&lt;&gt;"",TEXT(A38,"YYYY-MM"),"")</f>
        <v/>
      </c>
      <c r="G38">
        <f>IF(A38&lt;&gt;"",TEXT(A38,"MMMM YYYY"),"")</f>
        <v/>
      </c>
      <c r="H38">
        <f>IF(C38&gt;0,"Inkomsten",IF(C38&lt;0,"Uitgaven",""))</f>
        <v/>
      </c>
      <c r="I38">
        <f>IF(C38&lt;&gt;"",ABS(C38),"")</f>
        <v/>
      </c>
      <c r="J38">
        <f>IFERROR(INDEX('🏷️ Categorieregels'!$B:$B,MATCH(TRUE,ISNUMBER(SEARCH('🏷️ Categorieregels'!$A:$A,B38)),0)),"Onbekend")</f>
        <v/>
      </c>
      <c r="K38">
        <f>IFERROR(INDEX('🏷️ Categorieregels'!$C:$C,MATCH(TRUE,ISNUMBER(SEARCH('🏷️ Categorieregels'!$A:$A,B38)),0)),"")</f>
        <v/>
      </c>
    </row>
    <row r="39">
      <c r="A39">
        <f>'📥 CSV Import'!A42</f>
        <v/>
      </c>
      <c r="B39">
        <f>'📥 CSV Import'!B42</f>
        <v/>
      </c>
      <c r="C39">
        <f>'📥 CSV Import'!C42</f>
        <v/>
      </c>
      <c r="D39">
        <f>'📥 CSV Import'!D42</f>
        <v/>
      </c>
      <c r="E39">
        <f>IF(A39&lt;&gt;"",YEAR(A39),"")</f>
        <v/>
      </c>
      <c r="F39">
        <f>IF(A39&lt;&gt;"",TEXT(A39,"YYYY-MM"),"")</f>
        <v/>
      </c>
      <c r="G39">
        <f>IF(A39&lt;&gt;"",TEXT(A39,"MMMM YYYY"),"")</f>
        <v/>
      </c>
      <c r="H39">
        <f>IF(C39&gt;0,"Inkomsten",IF(C39&lt;0,"Uitgaven",""))</f>
        <v/>
      </c>
      <c r="I39">
        <f>IF(C39&lt;&gt;"",ABS(C39),"")</f>
        <v/>
      </c>
      <c r="J39">
        <f>IFERROR(INDEX('🏷️ Categorieregels'!$B:$B,MATCH(TRUE,ISNUMBER(SEARCH('🏷️ Categorieregels'!$A:$A,B39)),0)),"Onbekend")</f>
        <v/>
      </c>
      <c r="K39">
        <f>IFERROR(INDEX('🏷️ Categorieregels'!$C:$C,MATCH(TRUE,ISNUMBER(SEARCH('🏷️ Categorieregels'!$A:$A,B39)),0)),"")</f>
        <v/>
      </c>
    </row>
    <row r="40">
      <c r="A40">
        <f>'📥 CSV Import'!A43</f>
        <v/>
      </c>
      <c r="B40">
        <f>'📥 CSV Import'!B43</f>
        <v/>
      </c>
      <c r="C40">
        <f>'📥 CSV Import'!C43</f>
        <v/>
      </c>
      <c r="D40">
        <f>'📥 CSV Import'!D43</f>
        <v/>
      </c>
      <c r="E40">
        <f>IF(A40&lt;&gt;"",YEAR(A40),"")</f>
        <v/>
      </c>
      <c r="F40">
        <f>IF(A40&lt;&gt;"",TEXT(A40,"YYYY-MM"),"")</f>
        <v/>
      </c>
      <c r="G40">
        <f>IF(A40&lt;&gt;"",TEXT(A40,"MMMM YYYY"),"")</f>
        <v/>
      </c>
      <c r="H40">
        <f>IF(C40&gt;0,"Inkomsten",IF(C40&lt;0,"Uitgaven",""))</f>
        <v/>
      </c>
      <c r="I40">
        <f>IF(C40&lt;&gt;"",ABS(C40),"")</f>
        <v/>
      </c>
      <c r="J40">
        <f>IFERROR(INDEX('🏷️ Categorieregels'!$B:$B,MATCH(TRUE,ISNUMBER(SEARCH('🏷️ Categorieregels'!$A:$A,B40)),0)),"Onbekend")</f>
        <v/>
      </c>
      <c r="K40">
        <f>IFERROR(INDEX('🏷️ Categorieregels'!$C:$C,MATCH(TRUE,ISNUMBER(SEARCH('🏷️ Categorieregels'!$A:$A,B40)),0)),"")</f>
        <v/>
      </c>
    </row>
    <row r="41">
      <c r="A41">
        <f>'📥 CSV Import'!A44</f>
        <v/>
      </c>
      <c r="B41">
        <f>'📥 CSV Import'!B44</f>
        <v/>
      </c>
      <c r="C41">
        <f>'📥 CSV Import'!C44</f>
        <v/>
      </c>
      <c r="D41">
        <f>'📥 CSV Import'!D44</f>
        <v/>
      </c>
      <c r="E41">
        <f>IF(A41&lt;&gt;"",YEAR(A41),"")</f>
        <v/>
      </c>
      <c r="F41">
        <f>IF(A41&lt;&gt;"",TEXT(A41,"YYYY-MM"),"")</f>
        <v/>
      </c>
      <c r="G41">
        <f>IF(A41&lt;&gt;"",TEXT(A41,"MMMM YYYY"),"")</f>
        <v/>
      </c>
      <c r="H41">
        <f>IF(C41&gt;0,"Inkomsten",IF(C41&lt;0,"Uitgaven",""))</f>
        <v/>
      </c>
      <c r="I41">
        <f>IF(C41&lt;&gt;"",ABS(C41),"")</f>
        <v/>
      </c>
      <c r="J41">
        <f>IFERROR(INDEX('🏷️ Categorieregels'!$B:$B,MATCH(TRUE,ISNUMBER(SEARCH('🏷️ Categorieregels'!$A:$A,B41)),0)),"Onbekend")</f>
        <v/>
      </c>
      <c r="K41">
        <f>IFERROR(INDEX('🏷️ Categorieregels'!$C:$C,MATCH(TRUE,ISNUMBER(SEARCH('🏷️ Categorieregels'!$A:$A,B41)),0)),"")</f>
        <v/>
      </c>
    </row>
    <row r="42">
      <c r="A42">
        <f>'📥 CSV Import'!A45</f>
        <v/>
      </c>
      <c r="B42">
        <f>'📥 CSV Import'!B45</f>
        <v/>
      </c>
      <c r="C42">
        <f>'📥 CSV Import'!C45</f>
        <v/>
      </c>
      <c r="D42">
        <f>'📥 CSV Import'!D45</f>
        <v/>
      </c>
      <c r="E42">
        <f>IF(A42&lt;&gt;"",YEAR(A42),"")</f>
        <v/>
      </c>
      <c r="F42">
        <f>IF(A42&lt;&gt;"",TEXT(A42,"YYYY-MM"),"")</f>
        <v/>
      </c>
      <c r="G42">
        <f>IF(A42&lt;&gt;"",TEXT(A42,"MMMM YYYY"),"")</f>
        <v/>
      </c>
      <c r="H42">
        <f>IF(C42&gt;0,"Inkomsten",IF(C42&lt;0,"Uitgaven",""))</f>
        <v/>
      </c>
      <c r="I42">
        <f>IF(C42&lt;&gt;"",ABS(C42),"")</f>
        <v/>
      </c>
      <c r="J42">
        <f>IFERROR(INDEX('🏷️ Categorieregels'!$B:$B,MATCH(TRUE,ISNUMBER(SEARCH('🏷️ Categorieregels'!$A:$A,B42)),0)),"Onbekend")</f>
        <v/>
      </c>
      <c r="K42">
        <f>IFERROR(INDEX('🏷️ Categorieregels'!$C:$C,MATCH(TRUE,ISNUMBER(SEARCH('🏷️ Categorieregels'!$A:$A,B42)),0)),"")</f>
        <v/>
      </c>
    </row>
    <row r="43">
      <c r="A43">
        <f>'📥 CSV Import'!A46</f>
        <v/>
      </c>
      <c r="B43">
        <f>'📥 CSV Import'!B46</f>
        <v/>
      </c>
      <c r="C43">
        <f>'📥 CSV Import'!C46</f>
        <v/>
      </c>
      <c r="D43">
        <f>'📥 CSV Import'!D46</f>
        <v/>
      </c>
      <c r="E43">
        <f>IF(A43&lt;&gt;"",YEAR(A43),"")</f>
        <v/>
      </c>
      <c r="F43">
        <f>IF(A43&lt;&gt;"",TEXT(A43,"YYYY-MM"),"")</f>
        <v/>
      </c>
      <c r="G43">
        <f>IF(A43&lt;&gt;"",TEXT(A43,"MMMM YYYY"),"")</f>
        <v/>
      </c>
      <c r="H43">
        <f>IF(C43&gt;0,"Inkomsten",IF(C43&lt;0,"Uitgaven",""))</f>
        <v/>
      </c>
      <c r="I43">
        <f>IF(C43&lt;&gt;"",ABS(C43),"")</f>
        <v/>
      </c>
      <c r="J43">
        <f>IFERROR(INDEX('🏷️ Categorieregels'!$B:$B,MATCH(TRUE,ISNUMBER(SEARCH('🏷️ Categorieregels'!$A:$A,B43)),0)),"Onbekend")</f>
        <v/>
      </c>
      <c r="K43">
        <f>IFERROR(INDEX('🏷️ Categorieregels'!$C:$C,MATCH(TRUE,ISNUMBER(SEARCH('🏷️ Categorieregels'!$A:$A,B43)),0)),"")</f>
        <v/>
      </c>
    </row>
    <row r="44">
      <c r="A44">
        <f>'📥 CSV Import'!A47</f>
        <v/>
      </c>
      <c r="B44">
        <f>'📥 CSV Import'!B47</f>
        <v/>
      </c>
      <c r="C44">
        <f>'📥 CSV Import'!C47</f>
        <v/>
      </c>
      <c r="D44">
        <f>'📥 CSV Import'!D47</f>
        <v/>
      </c>
      <c r="E44">
        <f>IF(A44&lt;&gt;"",YEAR(A44),"")</f>
        <v/>
      </c>
      <c r="F44">
        <f>IF(A44&lt;&gt;"",TEXT(A44,"YYYY-MM"),"")</f>
        <v/>
      </c>
      <c r="G44">
        <f>IF(A44&lt;&gt;"",TEXT(A44,"MMMM YYYY"),"")</f>
        <v/>
      </c>
      <c r="H44">
        <f>IF(C44&gt;0,"Inkomsten",IF(C44&lt;0,"Uitgaven",""))</f>
        <v/>
      </c>
      <c r="I44">
        <f>IF(C44&lt;&gt;"",ABS(C44),"")</f>
        <v/>
      </c>
      <c r="J44">
        <f>IFERROR(INDEX('🏷️ Categorieregels'!$B:$B,MATCH(TRUE,ISNUMBER(SEARCH('🏷️ Categorieregels'!$A:$A,B44)),0)),"Onbekend")</f>
        <v/>
      </c>
      <c r="K44">
        <f>IFERROR(INDEX('🏷️ Categorieregels'!$C:$C,MATCH(TRUE,ISNUMBER(SEARCH('🏷️ Categorieregels'!$A:$A,B44)),0)),"")</f>
        <v/>
      </c>
    </row>
    <row r="45">
      <c r="A45">
        <f>'📥 CSV Import'!A48</f>
        <v/>
      </c>
      <c r="B45">
        <f>'📥 CSV Import'!B48</f>
        <v/>
      </c>
      <c r="C45">
        <f>'📥 CSV Import'!C48</f>
        <v/>
      </c>
      <c r="D45">
        <f>'📥 CSV Import'!D48</f>
        <v/>
      </c>
      <c r="E45">
        <f>IF(A45&lt;&gt;"",YEAR(A45),"")</f>
        <v/>
      </c>
      <c r="F45">
        <f>IF(A45&lt;&gt;"",TEXT(A45,"YYYY-MM"),"")</f>
        <v/>
      </c>
      <c r="G45">
        <f>IF(A45&lt;&gt;"",TEXT(A45,"MMMM YYYY"),"")</f>
        <v/>
      </c>
      <c r="H45">
        <f>IF(C45&gt;0,"Inkomsten",IF(C45&lt;0,"Uitgaven",""))</f>
        <v/>
      </c>
      <c r="I45">
        <f>IF(C45&lt;&gt;"",ABS(C45),"")</f>
        <v/>
      </c>
      <c r="J45">
        <f>IFERROR(INDEX('🏷️ Categorieregels'!$B:$B,MATCH(TRUE,ISNUMBER(SEARCH('🏷️ Categorieregels'!$A:$A,B45)),0)),"Onbekend")</f>
        <v/>
      </c>
      <c r="K45">
        <f>IFERROR(INDEX('🏷️ Categorieregels'!$C:$C,MATCH(TRUE,ISNUMBER(SEARCH('🏷️ Categorieregels'!$A:$A,B45)),0)),"")</f>
        <v/>
      </c>
    </row>
    <row r="46">
      <c r="A46">
        <f>'📥 CSV Import'!A49</f>
        <v/>
      </c>
      <c r="B46">
        <f>'📥 CSV Import'!B49</f>
        <v/>
      </c>
      <c r="C46">
        <f>'📥 CSV Import'!C49</f>
        <v/>
      </c>
      <c r="D46">
        <f>'📥 CSV Import'!D49</f>
        <v/>
      </c>
      <c r="E46">
        <f>IF(A46&lt;&gt;"",YEAR(A46),"")</f>
        <v/>
      </c>
      <c r="F46">
        <f>IF(A46&lt;&gt;"",TEXT(A46,"YYYY-MM"),"")</f>
        <v/>
      </c>
      <c r="G46">
        <f>IF(A46&lt;&gt;"",TEXT(A46,"MMMM YYYY"),"")</f>
        <v/>
      </c>
      <c r="H46">
        <f>IF(C46&gt;0,"Inkomsten",IF(C46&lt;0,"Uitgaven",""))</f>
        <v/>
      </c>
      <c r="I46">
        <f>IF(C46&lt;&gt;"",ABS(C46),"")</f>
        <v/>
      </c>
      <c r="J46">
        <f>IFERROR(INDEX('🏷️ Categorieregels'!$B:$B,MATCH(TRUE,ISNUMBER(SEARCH('🏷️ Categorieregels'!$A:$A,B46)),0)),"Onbekend")</f>
        <v/>
      </c>
      <c r="K46">
        <f>IFERROR(INDEX('🏷️ Categorieregels'!$C:$C,MATCH(TRUE,ISNUMBER(SEARCH('🏷️ Categorieregels'!$A:$A,B46)),0)),"")</f>
        <v/>
      </c>
    </row>
    <row r="47">
      <c r="A47">
        <f>'📥 CSV Import'!A50</f>
        <v/>
      </c>
      <c r="B47">
        <f>'📥 CSV Import'!B50</f>
        <v/>
      </c>
      <c r="C47">
        <f>'📥 CSV Import'!C50</f>
        <v/>
      </c>
      <c r="D47">
        <f>'📥 CSV Import'!D50</f>
        <v/>
      </c>
      <c r="E47">
        <f>IF(A47&lt;&gt;"",YEAR(A47),"")</f>
        <v/>
      </c>
      <c r="F47">
        <f>IF(A47&lt;&gt;"",TEXT(A47,"YYYY-MM"),"")</f>
        <v/>
      </c>
      <c r="G47">
        <f>IF(A47&lt;&gt;"",TEXT(A47,"MMMM YYYY"),"")</f>
        <v/>
      </c>
      <c r="H47">
        <f>IF(C47&gt;0,"Inkomsten",IF(C47&lt;0,"Uitgaven",""))</f>
        <v/>
      </c>
      <c r="I47">
        <f>IF(C47&lt;&gt;"",ABS(C47),"")</f>
        <v/>
      </c>
      <c r="J47">
        <f>IFERROR(INDEX('🏷️ Categorieregels'!$B:$B,MATCH(TRUE,ISNUMBER(SEARCH('🏷️ Categorieregels'!$A:$A,B47)),0)),"Onbekend")</f>
        <v/>
      </c>
      <c r="K47">
        <f>IFERROR(INDEX('🏷️ Categorieregels'!$C:$C,MATCH(TRUE,ISNUMBER(SEARCH('🏷️ Categorieregels'!$A:$A,B47)),0)),"")</f>
        <v/>
      </c>
    </row>
    <row r="48">
      <c r="A48">
        <f>'📥 CSV Import'!A51</f>
        <v/>
      </c>
      <c r="B48">
        <f>'📥 CSV Import'!B51</f>
        <v/>
      </c>
      <c r="C48">
        <f>'📥 CSV Import'!C51</f>
        <v/>
      </c>
      <c r="D48">
        <f>'📥 CSV Import'!D51</f>
        <v/>
      </c>
      <c r="E48">
        <f>IF(A48&lt;&gt;"",YEAR(A48),"")</f>
        <v/>
      </c>
      <c r="F48">
        <f>IF(A48&lt;&gt;"",TEXT(A48,"YYYY-MM"),"")</f>
        <v/>
      </c>
      <c r="G48">
        <f>IF(A48&lt;&gt;"",TEXT(A48,"MMMM YYYY"),"")</f>
        <v/>
      </c>
      <c r="H48">
        <f>IF(C48&gt;0,"Inkomsten",IF(C48&lt;0,"Uitgaven",""))</f>
        <v/>
      </c>
      <c r="I48">
        <f>IF(C48&lt;&gt;"",ABS(C48),"")</f>
        <v/>
      </c>
      <c r="J48">
        <f>IFERROR(INDEX('🏷️ Categorieregels'!$B:$B,MATCH(TRUE,ISNUMBER(SEARCH('🏷️ Categorieregels'!$A:$A,B48)),0)),"Onbekend")</f>
        <v/>
      </c>
      <c r="K48">
        <f>IFERROR(INDEX('🏷️ Categorieregels'!$C:$C,MATCH(TRUE,ISNUMBER(SEARCH('🏷️ Categorieregels'!$A:$A,B48)),0)),"")</f>
        <v/>
      </c>
    </row>
    <row r="49">
      <c r="A49">
        <f>'📥 CSV Import'!A52</f>
        <v/>
      </c>
      <c r="B49">
        <f>'📥 CSV Import'!B52</f>
        <v/>
      </c>
      <c r="C49">
        <f>'📥 CSV Import'!C52</f>
        <v/>
      </c>
      <c r="D49">
        <f>'📥 CSV Import'!D52</f>
        <v/>
      </c>
      <c r="E49">
        <f>IF(A49&lt;&gt;"",YEAR(A49),"")</f>
        <v/>
      </c>
      <c r="F49">
        <f>IF(A49&lt;&gt;"",TEXT(A49,"YYYY-MM"),"")</f>
        <v/>
      </c>
      <c r="G49">
        <f>IF(A49&lt;&gt;"",TEXT(A49,"MMMM YYYY"),"")</f>
        <v/>
      </c>
      <c r="H49">
        <f>IF(C49&gt;0,"Inkomsten",IF(C49&lt;0,"Uitgaven",""))</f>
        <v/>
      </c>
      <c r="I49">
        <f>IF(C49&lt;&gt;"",ABS(C49),"")</f>
        <v/>
      </c>
      <c r="J49">
        <f>IFERROR(INDEX('🏷️ Categorieregels'!$B:$B,MATCH(TRUE,ISNUMBER(SEARCH('🏷️ Categorieregels'!$A:$A,B49)),0)),"Onbekend")</f>
        <v/>
      </c>
      <c r="K49">
        <f>IFERROR(INDEX('🏷️ Categorieregels'!$C:$C,MATCH(TRUE,ISNUMBER(SEARCH('🏷️ Categorieregels'!$A:$A,B49)),0)),"")</f>
        <v/>
      </c>
    </row>
    <row r="50">
      <c r="A50">
        <f>'📥 CSV Import'!A53</f>
        <v/>
      </c>
      <c r="B50">
        <f>'📥 CSV Import'!B53</f>
        <v/>
      </c>
      <c r="C50">
        <f>'📥 CSV Import'!C53</f>
        <v/>
      </c>
      <c r="D50">
        <f>'📥 CSV Import'!D53</f>
        <v/>
      </c>
      <c r="E50">
        <f>IF(A50&lt;&gt;"",YEAR(A50),"")</f>
        <v/>
      </c>
      <c r="F50">
        <f>IF(A50&lt;&gt;"",TEXT(A50,"YYYY-MM"),"")</f>
        <v/>
      </c>
      <c r="G50">
        <f>IF(A50&lt;&gt;"",TEXT(A50,"MMMM YYYY"),"")</f>
        <v/>
      </c>
      <c r="H50">
        <f>IF(C50&gt;0,"Inkomsten",IF(C50&lt;0,"Uitgaven",""))</f>
        <v/>
      </c>
      <c r="I50">
        <f>IF(C50&lt;&gt;"",ABS(C50),"")</f>
        <v/>
      </c>
      <c r="J50">
        <f>IFERROR(INDEX('🏷️ Categorieregels'!$B:$B,MATCH(TRUE,ISNUMBER(SEARCH('🏷️ Categorieregels'!$A:$A,B50)),0)),"Onbekend")</f>
        <v/>
      </c>
      <c r="K50">
        <f>IFERROR(INDEX('🏷️ Categorieregels'!$C:$C,MATCH(TRUE,ISNUMBER(SEARCH('🏷️ Categorieregels'!$A:$A,B50)),0)),"")</f>
        <v/>
      </c>
    </row>
    <row r="51">
      <c r="A51">
        <f>'📥 CSV Import'!A54</f>
        <v/>
      </c>
      <c r="B51">
        <f>'📥 CSV Import'!B54</f>
        <v/>
      </c>
      <c r="C51">
        <f>'📥 CSV Import'!C54</f>
        <v/>
      </c>
      <c r="D51">
        <f>'📥 CSV Import'!D54</f>
        <v/>
      </c>
      <c r="E51">
        <f>IF(A51&lt;&gt;"",YEAR(A51),"")</f>
        <v/>
      </c>
      <c r="F51">
        <f>IF(A51&lt;&gt;"",TEXT(A51,"YYYY-MM"),"")</f>
        <v/>
      </c>
      <c r="G51">
        <f>IF(A51&lt;&gt;"",TEXT(A51,"MMMM YYYY"),"")</f>
        <v/>
      </c>
      <c r="H51">
        <f>IF(C51&gt;0,"Inkomsten",IF(C51&lt;0,"Uitgaven",""))</f>
        <v/>
      </c>
      <c r="I51">
        <f>IF(C51&lt;&gt;"",ABS(C51),"")</f>
        <v/>
      </c>
      <c r="J51">
        <f>IFERROR(INDEX('🏷️ Categorieregels'!$B:$B,MATCH(TRUE,ISNUMBER(SEARCH('🏷️ Categorieregels'!$A:$A,B51)),0)),"Onbekend")</f>
        <v/>
      </c>
      <c r="K51">
        <f>IFERROR(INDEX('🏷️ Categorieregels'!$C:$C,MATCH(TRUE,ISNUMBER(SEARCH('🏷️ Categorieregels'!$A:$A,B51)),0)),"")</f>
        <v/>
      </c>
    </row>
    <row r="52">
      <c r="A52">
        <f>'📥 CSV Import'!A55</f>
        <v/>
      </c>
      <c r="B52">
        <f>'📥 CSV Import'!B55</f>
        <v/>
      </c>
      <c r="C52">
        <f>'📥 CSV Import'!C55</f>
        <v/>
      </c>
      <c r="D52">
        <f>'📥 CSV Import'!D55</f>
        <v/>
      </c>
      <c r="E52">
        <f>IF(A52&lt;&gt;"",YEAR(A52),"")</f>
        <v/>
      </c>
      <c r="F52">
        <f>IF(A52&lt;&gt;"",TEXT(A52,"YYYY-MM"),"")</f>
        <v/>
      </c>
      <c r="G52">
        <f>IF(A52&lt;&gt;"",TEXT(A52,"MMMM YYYY"),"")</f>
        <v/>
      </c>
      <c r="H52">
        <f>IF(C52&gt;0,"Inkomsten",IF(C52&lt;0,"Uitgaven",""))</f>
        <v/>
      </c>
      <c r="I52">
        <f>IF(C52&lt;&gt;"",ABS(C52),"")</f>
        <v/>
      </c>
      <c r="J52">
        <f>IFERROR(INDEX('🏷️ Categorieregels'!$B:$B,MATCH(TRUE,ISNUMBER(SEARCH('🏷️ Categorieregels'!$A:$A,B52)),0)),"Onbekend")</f>
        <v/>
      </c>
      <c r="K52">
        <f>IFERROR(INDEX('🏷️ Categorieregels'!$C:$C,MATCH(TRUE,ISNUMBER(SEARCH('🏷️ Categorieregels'!$A:$A,B52)),0)),"")</f>
        <v/>
      </c>
    </row>
    <row r="53">
      <c r="A53">
        <f>'📥 CSV Import'!A56</f>
        <v/>
      </c>
      <c r="B53">
        <f>'📥 CSV Import'!B56</f>
        <v/>
      </c>
      <c r="C53">
        <f>'📥 CSV Import'!C56</f>
        <v/>
      </c>
      <c r="D53">
        <f>'📥 CSV Import'!D56</f>
        <v/>
      </c>
      <c r="E53">
        <f>IF(A53&lt;&gt;"",YEAR(A53),"")</f>
        <v/>
      </c>
      <c r="F53">
        <f>IF(A53&lt;&gt;"",TEXT(A53,"YYYY-MM"),"")</f>
        <v/>
      </c>
      <c r="G53">
        <f>IF(A53&lt;&gt;"",TEXT(A53,"MMMM YYYY"),"")</f>
        <v/>
      </c>
      <c r="H53">
        <f>IF(C53&gt;0,"Inkomsten",IF(C53&lt;0,"Uitgaven",""))</f>
        <v/>
      </c>
      <c r="I53">
        <f>IF(C53&lt;&gt;"",ABS(C53),"")</f>
        <v/>
      </c>
      <c r="J53">
        <f>IFERROR(INDEX('🏷️ Categorieregels'!$B:$B,MATCH(TRUE,ISNUMBER(SEARCH('🏷️ Categorieregels'!$A:$A,B53)),0)),"Onbekend")</f>
        <v/>
      </c>
      <c r="K53">
        <f>IFERROR(INDEX('🏷️ Categorieregels'!$C:$C,MATCH(TRUE,ISNUMBER(SEARCH('🏷️ Categorieregels'!$A:$A,B53)),0)),"")</f>
        <v/>
      </c>
    </row>
    <row r="54">
      <c r="A54">
        <f>'📥 CSV Import'!A57</f>
        <v/>
      </c>
      <c r="B54">
        <f>'📥 CSV Import'!B57</f>
        <v/>
      </c>
      <c r="C54">
        <f>'📥 CSV Import'!C57</f>
        <v/>
      </c>
      <c r="D54">
        <f>'📥 CSV Import'!D57</f>
        <v/>
      </c>
      <c r="E54">
        <f>IF(A54&lt;&gt;"",YEAR(A54),"")</f>
        <v/>
      </c>
      <c r="F54">
        <f>IF(A54&lt;&gt;"",TEXT(A54,"YYYY-MM"),"")</f>
        <v/>
      </c>
      <c r="G54">
        <f>IF(A54&lt;&gt;"",TEXT(A54,"MMMM YYYY"),"")</f>
        <v/>
      </c>
      <c r="H54">
        <f>IF(C54&gt;0,"Inkomsten",IF(C54&lt;0,"Uitgaven",""))</f>
        <v/>
      </c>
      <c r="I54">
        <f>IF(C54&lt;&gt;"",ABS(C54),"")</f>
        <v/>
      </c>
      <c r="J54">
        <f>IFERROR(INDEX('🏷️ Categorieregels'!$B:$B,MATCH(TRUE,ISNUMBER(SEARCH('🏷️ Categorieregels'!$A:$A,B54)),0)),"Onbekend")</f>
        <v/>
      </c>
      <c r="K54">
        <f>IFERROR(INDEX('🏷️ Categorieregels'!$C:$C,MATCH(TRUE,ISNUMBER(SEARCH('🏷️ Categorieregels'!$A:$A,B54)),0)),"")</f>
        <v/>
      </c>
    </row>
    <row r="55">
      <c r="A55">
        <f>'📥 CSV Import'!A58</f>
        <v/>
      </c>
      <c r="B55">
        <f>'📥 CSV Import'!B58</f>
        <v/>
      </c>
      <c r="C55">
        <f>'📥 CSV Import'!C58</f>
        <v/>
      </c>
      <c r="D55">
        <f>'📥 CSV Import'!D58</f>
        <v/>
      </c>
      <c r="E55">
        <f>IF(A55&lt;&gt;"",YEAR(A55),"")</f>
        <v/>
      </c>
      <c r="F55">
        <f>IF(A55&lt;&gt;"",TEXT(A55,"YYYY-MM"),"")</f>
        <v/>
      </c>
      <c r="G55">
        <f>IF(A55&lt;&gt;"",TEXT(A55,"MMMM YYYY"),"")</f>
        <v/>
      </c>
      <c r="H55">
        <f>IF(C55&gt;0,"Inkomsten",IF(C55&lt;0,"Uitgaven",""))</f>
        <v/>
      </c>
      <c r="I55">
        <f>IF(C55&lt;&gt;"",ABS(C55),"")</f>
        <v/>
      </c>
      <c r="J55">
        <f>IFERROR(INDEX('🏷️ Categorieregels'!$B:$B,MATCH(TRUE,ISNUMBER(SEARCH('🏷️ Categorieregels'!$A:$A,B55)),0)),"Onbekend")</f>
        <v/>
      </c>
      <c r="K55">
        <f>IFERROR(INDEX('🏷️ Categorieregels'!$C:$C,MATCH(TRUE,ISNUMBER(SEARCH('🏷️ Categorieregels'!$A:$A,B55)),0)),"")</f>
        <v/>
      </c>
    </row>
    <row r="56">
      <c r="A56">
        <f>'📥 CSV Import'!A59</f>
        <v/>
      </c>
      <c r="B56">
        <f>'📥 CSV Import'!B59</f>
        <v/>
      </c>
      <c r="C56">
        <f>'📥 CSV Import'!C59</f>
        <v/>
      </c>
      <c r="D56">
        <f>'📥 CSV Import'!D59</f>
        <v/>
      </c>
      <c r="E56">
        <f>IF(A56&lt;&gt;"",YEAR(A56),"")</f>
        <v/>
      </c>
      <c r="F56">
        <f>IF(A56&lt;&gt;"",TEXT(A56,"YYYY-MM"),"")</f>
        <v/>
      </c>
      <c r="G56">
        <f>IF(A56&lt;&gt;"",TEXT(A56,"MMMM YYYY"),"")</f>
        <v/>
      </c>
      <c r="H56">
        <f>IF(C56&gt;0,"Inkomsten",IF(C56&lt;0,"Uitgaven",""))</f>
        <v/>
      </c>
      <c r="I56">
        <f>IF(C56&lt;&gt;"",ABS(C56),"")</f>
        <v/>
      </c>
      <c r="J56">
        <f>IFERROR(INDEX('🏷️ Categorieregels'!$B:$B,MATCH(TRUE,ISNUMBER(SEARCH('🏷️ Categorieregels'!$A:$A,B56)),0)),"Onbekend")</f>
        <v/>
      </c>
      <c r="K56">
        <f>IFERROR(INDEX('🏷️ Categorieregels'!$C:$C,MATCH(TRUE,ISNUMBER(SEARCH('🏷️ Categorieregels'!$A:$A,B56)),0)),"")</f>
        <v/>
      </c>
    </row>
    <row r="57">
      <c r="A57">
        <f>'📥 CSV Import'!A60</f>
        <v/>
      </c>
      <c r="B57">
        <f>'📥 CSV Import'!B60</f>
        <v/>
      </c>
      <c r="C57">
        <f>'📥 CSV Import'!C60</f>
        <v/>
      </c>
      <c r="D57">
        <f>'📥 CSV Import'!D60</f>
        <v/>
      </c>
      <c r="E57">
        <f>IF(A57&lt;&gt;"",YEAR(A57),"")</f>
        <v/>
      </c>
      <c r="F57">
        <f>IF(A57&lt;&gt;"",TEXT(A57,"YYYY-MM"),"")</f>
        <v/>
      </c>
      <c r="G57">
        <f>IF(A57&lt;&gt;"",TEXT(A57,"MMMM YYYY"),"")</f>
        <v/>
      </c>
      <c r="H57">
        <f>IF(C57&gt;0,"Inkomsten",IF(C57&lt;0,"Uitgaven",""))</f>
        <v/>
      </c>
      <c r="I57">
        <f>IF(C57&lt;&gt;"",ABS(C57),"")</f>
        <v/>
      </c>
      <c r="J57">
        <f>IFERROR(INDEX('🏷️ Categorieregels'!$B:$B,MATCH(TRUE,ISNUMBER(SEARCH('🏷️ Categorieregels'!$A:$A,B57)),0)),"Onbekend")</f>
        <v/>
      </c>
      <c r="K57">
        <f>IFERROR(INDEX('🏷️ Categorieregels'!$C:$C,MATCH(TRUE,ISNUMBER(SEARCH('🏷️ Categorieregels'!$A:$A,B57)),0)),"")</f>
        <v/>
      </c>
    </row>
    <row r="58">
      <c r="A58">
        <f>'📥 CSV Import'!A61</f>
        <v/>
      </c>
      <c r="B58">
        <f>'📥 CSV Import'!B61</f>
        <v/>
      </c>
      <c r="C58">
        <f>'📥 CSV Import'!C61</f>
        <v/>
      </c>
      <c r="D58">
        <f>'📥 CSV Import'!D61</f>
        <v/>
      </c>
      <c r="E58">
        <f>IF(A58&lt;&gt;"",YEAR(A58),"")</f>
        <v/>
      </c>
      <c r="F58">
        <f>IF(A58&lt;&gt;"",TEXT(A58,"YYYY-MM"),"")</f>
        <v/>
      </c>
      <c r="G58">
        <f>IF(A58&lt;&gt;"",TEXT(A58,"MMMM YYYY"),"")</f>
        <v/>
      </c>
      <c r="H58">
        <f>IF(C58&gt;0,"Inkomsten",IF(C58&lt;0,"Uitgaven",""))</f>
        <v/>
      </c>
      <c r="I58">
        <f>IF(C58&lt;&gt;"",ABS(C58),"")</f>
        <v/>
      </c>
      <c r="J58">
        <f>IFERROR(INDEX('🏷️ Categorieregels'!$B:$B,MATCH(TRUE,ISNUMBER(SEARCH('🏷️ Categorieregels'!$A:$A,B58)),0)),"Onbekend")</f>
        <v/>
      </c>
      <c r="K58">
        <f>IFERROR(INDEX('🏷️ Categorieregels'!$C:$C,MATCH(TRUE,ISNUMBER(SEARCH('🏷️ Categorieregels'!$A:$A,B58)),0)),"")</f>
        <v/>
      </c>
    </row>
    <row r="59">
      <c r="A59">
        <f>'📥 CSV Import'!A62</f>
        <v/>
      </c>
      <c r="B59">
        <f>'📥 CSV Import'!B62</f>
        <v/>
      </c>
      <c r="C59">
        <f>'📥 CSV Import'!C62</f>
        <v/>
      </c>
      <c r="D59">
        <f>'📥 CSV Import'!D62</f>
        <v/>
      </c>
      <c r="E59">
        <f>IF(A59&lt;&gt;"",YEAR(A59),"")</f>
        <v/>
      </c>
      <c r="F59">
        <f>IF(A59&lt;&gt;"",TEXT(A59,"YYYY-MM"),"")</f>
        <v/>
      </c>
      <c r="G59">
        <f>IF(A59&lt;&gt;"",TEXT(A59,"MMMM YYYY"),"")</f>
        <v/>
      </c>
      <c r="H59">
        <f>IF(C59&gt;0,"Inkomsten",IF(C59&lt;0,"Uitgaven",""))</f>
        <v/>
      </c>
      <c r="I59">
        <f>IF(C59&lt;&gt;"",ABS(C59),"")</f>
        <v/>
      </c>
      <c r="J59">
        <f>IFERROR(INDEX('🏷️ Categorieregels'!$B:$B,MATCH(TRUE,ISNUMBER(SEARCH('🏷️ Categorieregels'!$A:$A,B59)),0)),"Onbekend")</f>
        <v/>
      </c>
      <c r="K59">
        <f>IFERROR(INDEX('🏷️ Categorieregels'!$C:$C,MATCH(TRUE,ISNUMBER(SEARCH('🏷️ Categorieregels'!$A:$A,B59)),0)),"")</f>
        <v/>
      </c>
    </row>
    <row r="60">
      <c r="A60">
        <f>'📥 CSV Import'!A63</f>
        <v/>
      </c>
      <c r="B60">
        <f>'📥 CSV Import'!B63</f>
        <v/>
      </c>
      <c r="C60">
        <f>'📥 CSV Import'!C63</f>
        <v/>
      </c>
      <c r="D60">
        <f>'📥 CSV Import'!D63</f>
        <v/>
      </c>
      <c r="E60">
        <f>IF(A60&lt;&gt;"",YEAR(A60),"")</f>
        <v/>
      </c>
      <c r="F60">
        <f>IF(A60&lt;&gt;"",TEXT(A60,"YYYY-MM"),"")</f>
        <v/>
      </c>
      <c r="G60">
        <f>IF(A60&lt;&gt;"",TEXT(A60,"MMMM YYYY"),"")</f>
        <v/>
      </c>
      <c r="H60">
        <f>IF(C60&gt;0,"Inkomsten",IF(C60&lt;0,"Uitgaven",""))</f>
        <v/>
      </c>
      <c r="I60">
        <f>IF(C60&lt;&gt;"",ABS(C60),"")</f>
        <v/>
      </c>
      <c r="J60">
        <f>IFERROR(INDEX('🏷️ Categorieregels'!$B:$B,MATCH(TRUE,ISNUMBER(SEARCH('🏷️ Categorieregels'!$A:$A,B60)),0)),"Onbekend")</f>
        <v/>
      </c>
      <c r="K60">
        <f>IFERROR(INDEX('🏷️ Categorieregels'!$C:$C,MATCH(TRUE,ISNUMBER(SEARCH('🏷️ Categorieregels'!$A:$A,B60)),0)),"")</f>
        <v/>
      </c>
    </row>
    <row r="61">
      <c r="A61">
        <f>'📥 CSV Import'!A64</f>
        <v/>
      </c>
      <c r="B61">
        <f>'📥 CSV Import'!B64</f>
        <v/>
      </c>
      <c r="C61">
        <f>'📥 CSV Import'!C64</f>
        <v/>
      </c>
      <c r="D61">
        <f>'📥 CSV Import'!D64</f>
        <v/>
      </c>
      <c r="E61">
        <f>IF(A61&lt;&gt;"",YEAR(A61),"")</f>
        <v/>
      </c>
      <c r="F61">
        <f>IF(A61&lt;&gt;"",TEXT(A61,"YYYY-MM"),"")</f>
        <v/>
      </c>
      <c r="G61">
        <f>IF(A61&lt;&gt;"",TEXT(A61,"MMMM YYYY"),"")</f>
        <v/>
      </c>
      <c r="H61">
        <f>IF(C61&gt;0,"Inkomsten",IF(C61&lt;0,"Uitgaven",""))</f>
        <v/>
      </c>
      <c r="I61">
        <f>IF(C61&lt;&gt;"",ABS(C61),"")</f>
        <v/>
      </c>
      <c r="J61">
        <f>IFERROR(INDEX('🏷️ Categorieregels'!$B:$B,MATCH(TRUE,ISNUMBER(SEARCH('🏷️ Categorieregels'!$A:$A,B61)),0)),"Onbekend")</f>
        <v/>
      </c>
      <c r="K61">
        <f>IFERROR(INDEX('🏷️ Categorieregels'!$C:$C,MATCH(TRUE,ISNUMBER(SEARCH('🏷️ Categorieregels'!$A:$A,B61)),0)),"")</f>
        <v/>
      </c>
    </row>
    <row r="62">
      <c r="A62">
        <f>'📥 CSV Import'!A65</f>
        <v/>
      </c>
      <c r="B62">
        <f>'📥 CSV Import'!B65</f>
        <v/>
      </c>
      <c r="C62">
        <f>'📥 CSV Import'!C65</f>
        <v/>
      </c>
      <c r="D62">
        <f>'📥 CSV Import'!D65</f>
        <v/>
      </c>
      <c r="E62">
        <f>IF(A62&lt;&gt;"",YEAR(A62),"")</f>
        <v/>
      </c>
      <c r="F62">
        <f>IF(A62&lt;&gt;"",TEXT(A62,"YYYY-MM"),"")</f>
        <v/>
      </c>
      <c r="G62">
        <f>IF(A62&lt;&gt;"",TEXT(A62,"MMMM YYYY"),"")</f>
        <v/>
      </c>
      <c r="H62">
        <f>IF(C62&gt;0,"Inkomsten",IF(C62&lt;0,"Uitgaven",""))</f>
        <v/>
      </c>
      <c r="I62">
        <f>IF(C62&lt;&gt;"",ABS(C62),"")</f>
        <v/>
      </c>
      <c r="J62">
        <f>IFERROR(INDEX('🏷️ Categorieregels'!$B:$B,MATCH(TRUE,ISNUMBER(SEARCH('🏷️ Categorieregels'!$A:$A,B62)),0)),"Onbekend")</f>
        <v/>
      </c>
      <c r="K62">
        <f>IFERROR(INDEX('🏷️ Categorieregels'!$C:$C,MATCH(TRUE,ISNUMBER(SEARCH('🏷️ Categorieregels'!$A:$A,B62)),0)),"")</f>
        <v/>
      </c>
    </row>
    <row r="63">
      <c r="A63">
        <f>'📥 CSV Import'!A66</f>
        <v/>
      </c>
      <c r="B63">
        <f>'📥 CSV Import'!B66</f>
        <v/>
      </c>
      <c r="C63">
        <f>'📥 CSV Import'!C66</f>
        <v/>
      </c>
      <c r="D63">
        <f>'📥 CSV Import'!D66</f>
        <v/>
      </c>
      <c r="E63">
        <f>IF(A63&lt;&gt;"",YEAR(A63),"")</f>
        <v/>
      </c>
      <c r="F63">
        <f>IF(A63&lt;&gt;"",TEXT(A63,"YYYY-MM"),"")</f>
        <v/>
      </c>
      <c r="G63">
        <f>IF(A63&lt;&gt;"",TEXT(A63,"MMMM YYYY"),"")</f>
        <v/>
      </c>
      <c r="H63">
        <f>IF(C63&gt;0,"Inkomsten",IF(C63&lt;0,"Uitgaven",""))</f>
        <v/>
      </c>
      <c r="I63">
        <f>IF(C63&lt;&gt;"",ABS(C63),"")</f>
        <v/>
      </c>
      <c r="J63">
        <f>IFERROR(INDEX('🏷️ Categorieregels'!$B:$B,MATCH(TRUE,ISNUMBER(SEARCH('🏷️ Categorieregels'!$A:$A,B63)),0)),"Onbekend")</f>
        <v/>
      </c>
      <c r="K63">
        <f>IFERROR(INDEX('🏷️ Categorieregels'!$C:$C,MATCH(TRUE,ISNUMBER(SEARCH('🏷️ Categorieregels'!$A:$A,B63)),0)),"")</f>
        <v/>
      </c>
    </row>
    <row r="64">
      <c r="A64">
        <f>'📥 CSV Import'!A67</f>
        <v/>
      </c>
      <c r="B64">
        <f>'📥 CSV Import'!B67</f>
        <v/>
      </c>
      <c r="C64">
        <f>'📥 CSV Import'!C67</f>
        <v/>
      </c>
      <c r="D64">
        <f>'📥 CSV Import'!D67</f>
        <v/>
      </c>
      <c r="E64">
        <f>IF(A64&lt;&gt;"",YEAR(A64),"")</f>
        <v/>
      </c>
      <c r="F64">
        <f>IF(A64&lt;&gt;"",TEXT(A64,"YYYY-MM"),"")</f>
        <v/>
      </c>
      <c r="G64">
        <f>IF(A64&lt;&gt;"",TEXT(A64,"MMMM YYYY"),"")</f>
        <v/>
      </c>
      <c r="H64">
        <f>IF(C64&gt;0,"Inkomsten",IF(C64&lt;0,"Uitgaven",""))</f>
        <v/>
      </c>
      <c r="I64">
        <f>IF(C64&lt;&gt;"",ABS(C64),"")</f>
        <v/>
      </c>
      <c r="J64">
        <f>IFERROR(INDEX('🏷️ Categorieregels'!$B:$B,MATCH(TRUE,ISNUMBER(SEARCH('🏷️ Categorieregels'!$A:$A,B64)),0)),"Onbekend")</f>
        <v/>
      </c>
      <c r="K64">
        <f>IFERROR(INDEX('🏷️ Categorieregels'!$C:$C,MATCH(TRUE,ISNUMBER(SEARCH('🏷️ Categorieregels'!$A:$A,B64)),0)),"")</f>
        <v/>
      </c>
    </row>
    <row r="65">
      <c r="A65">
        <f>'📥 CSV Import'!A68</f>
        <v/>
      </c>
      <c r="B65">
        <f>'📥 CSV Import'!B68</f>
        <v/>
      </c>
      <c r="C65">
        <f>'📥 CSV Import'!C68</f>
        <v/>
      </c>
      <c r="D65">
        <f>'📥 CSV Import'!D68</f>
        <v/>
      </c>
      <c r="E65">
        <f>IF(A65&lt;&gt;"",YEAR(A65),"")</f>
        <v/>
      </c>
      <c r="F65">
        <f>IF(A65&lt;&gt;"",TEXT(A65,"YYYY-MM"),"")</f>
        <v/>
      </c>
      <c r="G65">
        <f>IF(A65&lt;&gt;"",TEXT(A65,"MMMM YYYY"),"")</f>
        <v/>
      </c>
      <c r="H65">
        <f>IF(C65&gt;0,"Inkomsten",IF(C65&lt;0,"Uitgaven",""))</f>
        <v/>
      </c>
      <c r="I65">
        <f>IF(C65&lt;&gt;"",ABS(C65),"")</f>
        <v/>
      </c>
      <c r="J65">
        <f>IFERROR(INDEX('🏷️ Categorieregels'!$B:$B,MATCH(TRUE,ISNUMBER(SEARCH('🏷️ Categorieregels'!$A:$A,B65)),0)),"Onbekend")</f>
        <v/>
      </c>
      <c r="K65">
        <f>IFERROR(INDEX('🏷️ Categorieregels'!$C:$C,MATCH(TRUE,ISNUMBER(SEARCH('🏷️ Categorieregels'!$A:$A,B65)),0)),"")</f>
        <v/>
      </c>
    </row>
    <row r="66">
      <c r="A66">
        <f>'📥 CSV Import'!A69</f>
        <v/>
      </c>
      <c r="B66">
        <f>'📥 CSV Import'!B69</f>
        <v/>
      </c>
      <c r="C66">
        <f>'📥 CSV Import'!C69</f>
        <v/>
      </c>
      <c r="D66">
        <f>'📥 CSV Import'!D69</f>
        <v/>
      </c>
      <c r="E66">
        <f>IF(A66&lt;&gt;"",YEAR(A66),"")</f>
        <v/>
      </c>
      <c r="F66">
        <f>IF(A66&lt;&gt;"",TEXT(A66,"YYYY-MM"),"")</f>
        <v/>
      </c>
      <c r="G66">
        <f>IF(A66&lt;&gt;"",TEXT(A66,"MMMM YYYY"),"")</f>
        <v/>
      </c>
      <c r="H66">
        <f>IF(C66&gt;0,"Inkomsten",IF(C66&lt;0,"Uitgaven",""))</f>
        <v/>
      </c>
      <c r="I66">
        <f>IF(C66&lt;&gt;"",ABS(C66),"")</f>
        <v/>
      </c>
      <c r="J66">
        <f>IFERROR(INDEX('🏷️ Categorieregels'!$B:$B,MATCH(TRUE,ISNUMBER(SEARCH('🏷️ Categorieregels'!$A:$A,B66)),0)),"Onbekend")</f>
        <v/>
      </c>
      <c r="K66">
        <f>IFERROR(INDEX('🏷️ Categorieregels'!$C:$C,MATCH(TRUE,ISNUMBER(SEARCH('🏷️ Categorieregels'!$A:$A,B66)),0)),"")</f>
        <v/>
      </c>
    </row>
    <row r="67">
      <c r="A67">
        <f>'📥 CSV Import'!A70</f>
        <v/>
      </c>
      <c r="B67">
        <f>'📥 CSV Import'!B70</f>
        <v/>
      </c>
      <c r="C67">
        <f>'📥 CSV Import'!C70</f>
        <v/>
      </c>
      <c r="D67">
        <f>'📥 CSV Import'!D70</f>
        <v/>
      </c>
      <c r="E67">
        <f>IF(A67&lt;&gt;"",YEAR(A67),"")</f>
        <v/>
      </c>
      <c r="F67">
        <f>IF(A67&lt;&gt;"",TEXT(A67,"YYYY-MM"),"")</f>
        <v/>
      </c>
      <c r="G67">
        <f>IF(A67&lt;&gt;"",TEXT(A67,"MMMM YYYY"),"")</f>
        <v/>
      </c>
      <c r="H67">
        <f>IF(C67&gt;0,"Inkomsten",IF(C67&lt;0,"Uitgaven",""))</f>
        <v/>
      </c>
      <c r="I67">
        <f>IF(C67&lt;&gt;"",ABS(C67),"")</f>
        <v/>
      </c>
      <c r="J67">
        <f>IFERROR(INDEX('🏷️ Categorieregels'!$B:$B,MATCH(TRUE,ISNUMBER(SEARCH('🏷️ Categorieregels'!$A:$A,B67)),0)),"Onbekend")</f>
        <v/>
      </c>
      <c r="K67">
        <f>IFERROR(INDEX('🏷️ Categorieregels'!$C:$C,MATCH(TRUE,ISNUMBER(SEARCH('🏷️ Categorieregels'!$A:$A,B67)),0)),"")</f>
        <v/>
      </c>
    </row>
    <row r="68">
      <c r="A68">
        <f>'📥 CSV Import'!A71</f>
        <v/>
      </c>
      <c r="B68">
        <f>'📥 CSV Import'!B71</f>
        <v/>
      </c>
      <c r="C68">
        <f>'📥 CSV Import'!C71</f>
        <v/>
      </c>
      <c r="D68">
        <f>'📥 CSV Import'!D71</f>
        <v/>
      </c>
      <c r="E68">
        <f>IF(A68&lt;&gt;"",YEAR(A68),"")</f>
        <v/>
      </c>
      <c r="F68">
        <f>IF(A68&lt;&gt;"",TEXT(A68,"YYYY-MM"),"")</f>
        <v/>
      </c>
      <c r="G68">
        <f>IF(A68&lt;&gt;"",TEXT(A68,"MMMM YYYY"),"")</f>
        <v/>
      </c>
      <c r="H68">
        <f>IF(C68&gt;0,"Inkomsten",IF(C68&lt;0,"Uitgaven",""))</f>
        <v/>
      </c>
      <c r="I68">
        <f>IF(C68&lt;&gt;"",ABS(C68),"")</f>
        <v/>
      </c>
      <c r="J68">
        <f>IFERROR(INDEX('🏷️ Categorieregels'!$B:$B,MATCH(TRUE,ISNUMBER(SEARCH('🏷️ Categorieregels'!$A:$A,B68)),0)),"Onbekend")</f>
        <v/>
      </c>
      <c r="K68">
        <f>IFERROR(INDEX('🏷️ Categorieregels'!$C:$C,MATCH(TRUE,ISNUMBER(SEARCH('🏷️ Categorieregels'!$A:$A,B68)),0)),"")</f>
        <v/>
      </c>
    </row>
    <row r="69">
      <c r="A69">
        <f>'📥 CSV Import'!A72</f>
        <v/>
      </c>
      <c r="B69">
        <f>'📥 CSV Import'!B72</f>
        <v/>
      </c>
      <c r="C69">
        <f>'📥 CSV Import'!C72</f>
        <v/>
      </c>
      <c r="D69">
        <f>'📥 CSV Import'!D72</f>
        <v/>
      </c>
      <c r="E69">
        <f>IF(A69&lt;&gt;"",YEAR(A69),"")</f>
        <v/>
      </c>
      <c r="F69">
        <f>IF(A69&lt;&gt;"",TEXT(A69,"YYYY-MM"),"")</f>
        <v/>
      </c>
      <c r="G69">
        <f>IF(A69&lt;&gt;"",TEXT(A69,"MMMM YYYY"),"")</f>
        <v/>
      </c>
      <c r="H69">
        <f>IF(C69&gt;0,"Inkomsten",IF(C69&lt;0,"Uitgaven",""))</f>
        <v/>
      </c>
      <c r="I69">
        <f>IF(C69&lt;&gt;"",ABS(C69),"")</f>
        <v/>
      </c>
      <c r="J69">
        <f>IFERROR(INDEX('🏷️ Categorieregels'!$B:$B,MATCH(TRUE,ISNUMBER(SEARCH('🏷️ Categorieregels'!$A:$A,B69)),0)),"Onbekend")</f>
        <v/>
      </c>
      <c r="K69">
        <f>IFERROR(INDEX('🏷️ Categorieregels'!$C:$C,MATCH(TRUE,ISNUMBER(SEARCH('🏷️ Categorieregels'!$A:$A,B69)),0)),"")</f>
        <v/>
      </c>
    </row>
    <row r="70">
      <c r="A70">
        <f>'📥 CSV Import'!A73</f>
        <v/>
      </c>
      <c r="B70">
        <f>'📥 CSV Import'!B73</f>
        <v/>
      </c>
      <c r="C70">
        <f>'📥 CSV Import'!C73</f>
        <v/>
      </c>
      <c r="D70">
        <f>'📥 CSV Import'!D73</f>
        <v/>
      </c>
      <c r="E70">
        <f>IF(A70&lt;&gt;"",YEAR(A70),"")</f>
        <v/>
      </c>
      <c r="F70">
        <f>IF(A70&lt;&gt;"",TEXT(A70,"YYYY-MM"),"")</f>
        <v/>
      </c>
      <c r="G70">
        <f>IF(A70&lt;&gt;"",TEXT(A70,"MMMM YYYY"),"")</f>
        <v/>
      </c>
      <c r="H70">
        <f>IF(C70&gt;0,"Inkomsten",IF(C70&lt;0,"Uitgaven",""))</f>
        <v/>
      </c>
      <c r="I70">
        <f>IF(C70&lt;&gt;"",ABS(C70),"")</f>
        <v/>
      </c>
      <c r="J70">
        <f>IFERROR(INDEX('🏷️ Categorieregels'!$B:$B,MATCH(TRUE,ISNUMBER(SEARCH('🏷️ Categorieregels'!$A:$A,B70)),0)),"Onbekend")</f>
        <v/>
      </c>
      <c r="K70">
        <f>IFERROR(INDEX('🏷️ Categorieregels'!$C:$C,MATCH(TRUE,ISNUMBER(SEARCH('🏷️ Categorieregels'!$A:$A,B70)),0)),"")</f>
        <v/>
      </c>
    </row>
    <row r="71">
      <c r="A71">
        <f>'📥 CSV Import'!A74</f>
        <v/>
      </c>
      <c r="B71">
        <f>'📥 CSV Import'!B74</f>
        <v/>
      </c>
      <c r="C71">
        <f>'📥 CSV Import'!C74</f>
        <v/>
      </c>
      <c r="D71">
        <f>'📥 CSV Import'!D74</f>
        <v/>
      </c>
      <c r="E71">
        <f>IF(A71&lt;&gt;"",YEAR(A71),"")</f>
        <v/>
      </c>
      <c r="F71">
        <f>IF(A71&lt;&gt;"",TEXT(A71,"YYYY-MM"),"")</f>
        <v/>
      </c>
      <c r="G71">
        <f>IF(A71&lt;&gt;"",TEXT(A71,"MMMM YYYY"),"")</f>
        <v/>
      </c>
      <c r="H71">
        <f>IF(C71&gt;0,"Inkomsten",IF(C71&lt;0,"Uitgaven",""))</f>
        <v/>
      </c>
      <c r="I71">
        <f>IF(C71&lt;&gt;"",ABS(C71),"")</f>
        <v/>
      </c>
      <c r="J71">
        <f>IFERROR(INDEX('🏷️ Categorieregels'!$B:$B,MATCH(TRUE,ISNUMBER(SEARCH('🏷️ Categorieregels'!$A:$A,B71)),0)),"Onbekend")</f>
        <v/>
      </c>
      <c r="K71">
        <f>IFERROR(INDEX('🏷️ Categorieregels'!$C:$C,MATCH(TRUE,ISNUMBER(SEARCH('🏷️ Categorieregels'!$A:$A,B71)),0)),"")</f>
        <v/>
      </c>
    </row>
    <row r="72">
      <c r="A72">
        <f>'📥 CSV Import'!A75</f>
        <v/>
      </c>
      <c r="B72">
        <f>'📥 CSV Import'!B75</f>
        <v/>
      </c>
      <c r="C72">
        <f>'📥 CSV Import'!C75</f>
        <v/>
      </c>
      <c r="D72">
        <f>'📥 CSV Import'!D75</f>
        <v/>
      </c>
      <c r="E72">
        <f>IF(A72&lt;&gt;"",YEAR(A72),"")</f>
        <v/>
      </c>
      <c r="F72">
        <f>IF(A72&lt;&gt;"",TEXT(A72,"YYYY-MM"),"")</f>
        <v/>
      </c>
      <c r="G72">
        <f>IF(A72&lt;&gt;"",TEXT(A72,"MMMM YYYY"),"")</f>
        <v/>
      </c>
      <c r="H72">
        <f>IF(C72&gt;0,"Inkomsten",IF(C72&lt;0,"Uitgaven",""))</f>
        <v/>
      </c>
      <c r="I72">
        <f>IF(C72&lt;&gt;"",ABS(C72),"")</f>
        <v/>
      </c>
      <c r="J72">
        <f>IFERROR(INDEX('🏷️ Categorieregels'!$B:$B,MATCH(TRUE,ISNUMBER(SEARCH('🏷️ Categorieregels'!$A:$A,B72)),0)),"Onbekend")</f>
        <v/>
      </c>
      <c r="K72">
        <f>IFERROR(INDEX('🏷️ Categorieregels'!$C:$C,MATCH(TRUE,ISNUMBER(SEARCH('🏷️ Categorieregels'!$A:$A,B72)),0)),"")</f>
        <v/>
      </c>
    </row>
    <row r="73">
      <c r="A73">
        <f>'📥 CSV Import'!A76</f>
        <v/>
      </c>
      <c r="B73">
        <f>'📥 CSV Import'!B76</f>
        <v/>
      </c>
      <c r="C73">
        <f>'📥 CSV Import'!C76</f>
        <v/>
      </c>
      <c r="D73">
        <f>'📥 CSV Import'!D76</f>
        <v/>
      </c>
      <c r="E73">
        <f>IF(A73&lt;&gt;"",YEAR(A73),"")</f>
        <v/>
      </c>
      <c r="F73">
        <f>IF(A73&lt;&gt;"",TEXT(A73,"YYYY-MM"),"")</f>
        <v/>
      </c>
      <c r="G73">
        <f>IF(A73&lt;&gt;"",TEXT(A73,"MMMM YYYY"),"")</f>
        <v/>
      </c>
      <c r="H73">
        <f>IF(C73&gt;0,"Inkomsten",IF(C73&lt;0,"Uitgaven",""))</f>
        <v/>
      </c>
      <c r="I73">
        <f>IF(C73&lt;&gt;"",ABS(C73),"")</f>
        <v/>
      </c>
      <c r="J73">
        <f>IFERROR(INDEX('🏷️ Categorieregels'!$B:$B,MATCH(TRUE,ISNUMBER(SEARCH('🏷️ Categorieregels'!$A:$A,B73)),0)),"Onbekend")</f>
        <v/>
      </c>
      <c r="K73">
        <f>IFERROR(INDEX('🏷️ Categorieregels'!$C:$C,MATCH(TRUE,ISNUMBER(SEARCH('🏷️ Categorieregels'!$A:$A,B73)),0)),"")</f>
        <v/>
      </c>
    </row>
    <row r="74">
      <c r="A74">
        <f>'📥 CSV Import'!A77</f>
        <v/>
      </c>
      <c r="B74">
        <f>'📥 CSV Import'!B77</f>
        <v/>
      </c>
      <c r="C74">
        <f>'📥 CSV Import'!C77</f>
        <v/>
      </c>
      <c r="D74">
        <f>'📥 CSV Import'!D77</f>
        <v/>
      </c>
      <c r="E74">
        <f>IF(A74&lt;&gt;"",YEAR(A74),"")</f>
        <v/>
      </c>
      <c r="F74">
        <f>IF(A74&lt;&gt;"",TEXT(A74,"YYYY-MM"),"")</f>
        <v/>
      </c>
      <c r="G74">
        <f>IF(A74&lt;&gt;"",TEXT(A74,"MMMM YYYY"),"")</f>
        <v/>
      </c>
      <c r="H74">
        <f>IF(C74&gt;0,"Inkomsten",IF(C74&lt;0,"Uitgaven",""))</f>
        <v/>
      </c>
      <c r="I74">
        <f>IF(C74&lt;&gt;"",ABS(C74),"")</f>
        <v/>
      </c>
      <c r="J74">
        <f>IFERROR(INDEX('🏷️ Categorieregels'!$B:$B,MATCH(TRUE,ISNUMBER(SEARCH('🏷️ Categorieregels'!$A:$A,B74)),0)),"Onbekend")</f>
        <v/>
      </c>
      <c r="K74">
        <f>IFERROR(INDEX('🏷️ Categorieregels'!$C:$C,MATCH(TRUE,ISNUMBER(SEARCH('🏷️ Categorieregels'!$A:$A,B74)),0)),"")</f>
        <v/>
      </c>
    </row>
    <row r="75">
      <c r="A75">
        <f>'📥 CSV Import'!A78</f>
        <v/>
      </c>
      <c r="B75">
        <f>'📥 CSV Import'!B78</f>
        <v/>
      </c>
      <c r="C75">
        <f>'📥 CSV Import'!C78</f>
        <v/>
      </c>
      <c r="D75">
        <f>'📥 CSV Import'!D78</f>
        <v/>
      </c>
      <c r="E75">
        <f>IF(A75&lt;&gt;"",YEAR(A75),"")</f>
        <v/>
      </c>
      <c r="F75">
        <f>IF(A75&lt;&gt;"",TEXT(A75,"YYYY-MM"),"")</f>
        <v/>
      </c>
      <c r="G75">
        <f>IF(A75&lt;&gt;"",TEXT(A75,"MMMM YYYY"),"")</f>
        <v/>
      </c>
      <c r="H75">
        <f>IF(C75&gt;0,"Inkomsten",IF(C75&lt;0,"Uitgaven",""))</f>
        <v/>
      </c>
      <c r="I75">
        <f>IF(C75&lt;&gt;"",ABS(C75),"")</f>
        <v/>
      </c>
      <c r="J75">
        <f>IFERROR(INDEX('🏷️ Categorieregels'!$B:$B,MATCH(TRUE,ISNUMBER(SEARCH('🏷️ Categorieregels'!$A:$A,B75)),0)),"Onbekend")</f>
        <v/>
      </c>
      <c r="K75">
        <f>IFERROR(INDEX('🏷️ Categorieregels'!$C:$C,MATCH(TRUE,ISNUMBER(SEARCH('🏷️ Categorieregels'!$A:$A,B75)),0)),"")</f>
        <v/>
      </c>
    </row>
    <row r="76">
      <c r="A76">
        <f>'📥 CSV Import'!A79</f>
        <v/>
      </c>
      <c r="B76">
        <f>'📥 CSV Import'!B79</f>
        <v/>
      </c>
      <c r="C76">
        <f>'📥 CSV Import'!C79</f>
        <v/>
      </c>
      <c r="D76">
        <f>'📥 CSV Import'!D79</f>
        <v/>
      </c>
      <c r="E76">
        <f>IF(A76&lt;&gt;"",YEAR(A76),"")</f>
        <v/>
      </c>
      <c r="F76">
        <f>IF(A76&lt;&gt;"",TEXT(A76,"YYYY-MM"),"")</f>
        <v/>
      </c>
      <c r="G76">
        <f>IF(A76&lt;&gt;"",TEXT(A76,"MMMM YYYY"),"")</f>
        <v/>
      </c>
      <c r="H76">
        <f>IF(C76&gt;0,"Inkomsten",IF(C76&lt;0,"Uitgaven",""))</f>
        <v/>
      </c>
      <c r="I76">
        <f>IF(C76&lt;&gt;"",ABS(C76),"")</f>
        <v/>
      </c>
      <c r="J76">
        <f>IFERROR(INDEX('🏷️ Categorieregels'!$B:$B,MATCH(TRUE,ISNUMBER(SEARCH('🏷️ Categorieregels'!$A:$A,B76)),0)),"Onbekend")</f>
        <v/>
      </c>
      <c r="K76">
        <f>IFERROR(INDEX('🏷️ Categorieregels'!$C:$C,MATCH(TRUE,ISNUMBER(SEARCH('🏷️ Categorieregels'!$A:$A,B76)),0)),"")</f>
        <v/>
      </c>
    </row>
    <row r="77">
      <c r="A77">
        <f>'📥 CSV Import'!A80</f>
        <v/>
      </c>
      <c r="B77">
        <f>'📥 CSV Import'!B80</f>
        <v/>
      </c>
      <c r="C77">
        <f>'📥 CSV Import'!C80</f>
        <v/>
      </c>
      <c r="D77">
        <f>'📥 CSV Import'!D80</f>
        <v/>
      </c>
      <c r="E77">
        <f>IF(A77&lt;&gt;"",YEAR(A77),"")</f>
        <v/>
      </c>
      <c r="F77">
        <f>IF(A77&lt;&gt;"",TEXT(A77,"YYYY-MM"),"")</f>
        <v/>
      </c>
      <c r="G77">
        <f>IF(A77&lt;&gt;"",TEXT(A77,"MMMM YYYY"),"")</f>
        <v/>
      </c>
      <c r="H77">
        <f>IF(C77&gt;0,"Inkomsten",IF(C77&lt;0,"Uitgaven",""))</f>
        <v/>
      </c>
      <c r="I77">
        <f>IF(C77&lt;&gt;"",ABS(C77),"")</f>
        <v/>
      </c>
      <c r="J77">
        <f>IFERROR(INDEX('🏷️ Categorieregels'!$B:$B,MATCH(TRUE,ISNUMBER(SEARCH('🏷️ Categorieregels'!$A:$A,B77)),0)),"Onbekend")</f>
        <v/>
      </c>
      <c r="K77">
        <f>IFERROR(INDEX('🏷️ Categorieregels'!$C:$C,MATCH(TRUE,ISNUMBER(SEARCH('🏷️ Categorieregels'!$A:$A,B77)),0)),"")</f>
        <v/>
      </c>
    </row>
    <row r="78">
      <c r="A78">
        <f>'📥 CSV Import'!A81</f>
        <v/>
      </c>
      <c r="B78">
        <f>'📥 CSV Import'!B81</f>
        <v/>
      </c>
      <c r="C78">
        <f>'📥 CSV Import'!C81</f>
        <v/>
      </c>
      <c r="D78">
        <f>'📥 CSV Import'!D81</f>
        <v/>
      </c>
      <c r="E78">
        <f>IF(A78&lt;&gt;"",YEAR(A78),"")</f>
        <v/>
      </c>
      <c r="F78">
        <f>IF(A78&lt;&gt;"",TEXT(A78,"YYYY-MM"),"")</f>
        <v/>
      </c>
      <c r="G78">
        <f>IF(A78&lt;&gt;"",TEXT(A78,"MMMM YYYY"),"")</f>
        <v/>
      </c>
      <c r="H78">
        <f>IF(C78&gt;0,"Inkomsten",IF(C78&lt;0,"Uitgaven",""))</f>
        <v/>
      </c>
      <c r="I78">
        <f>IF(C78&lt;&gt;"",ABS(C78),"")</f>
        <v/>
      </c>
      <c r="J78">
        <f>IFERROR(INDEX('🏷️ Categorieregels'!$B:$B,MATCH(TRUE,ISNUMBER(SEARCH('🏷️ Categorieregels'!$A:$A,B78)),0)),"Onbekend")</f>
        <v/>
      </c>
      <c r="K78">
        <f>IFERROR(INDEX('🏷️ Categorieregels'!$C:$C,MATCH(TRUE,ISNUMBER(SEARCH('🏷️ Categorieregels'!$A:$A,B78)),0)),"")</f>
        <v/>
      </c>
    </row>
    <row r="79">
      <c r="A79">
        <f>'📥 CSV Import'!A82</f>
        <v/>
      </c>
      <c r="B79">
        <f>'📥 CSV Import'!B82</f>
        <v/>
      </c>
      <c r="C79">
        <f>'📥 CSV Import'!C82</f>
        <v/>
      </c>
      <c r="D79">
        <f>'📥 CSV Import'!D82</f>
        <v/>
      </c>
      <c r="E79">
        <f>IF(A79&lt;&gt;"",YEAR(A79),"")</f>
        <v/>
      </c>
      <c r="F79">
        <f>IF(A79&lt;&gt;"",TEXT(A79,"YYYY-MM"),"")</f>
        <v/>
      </c>
      <c r="G79">
        <f>IF(A79&lt;&gt;"",TEXT(A79,"MMMM YYYY"),"")</f>
        <v/>
      </c>
      <c r="H79">
        <f>IF(C79&gt;0,"Inkomsten",IF(C79&lt;0,"Uitgaven",""))</f>
        <v/>
      </c>
      <c r="I79">
        <f>IF(C79&lt;&gt;"",ABS(C79),"")</f>
        <v/>
      </c>
      <c r="J79">
        <f>IFERROR(INDEX('🏷️ Categorieregels'!$B:$B,MATCH(TRUE,ISNUMBER(SEARCH('🏷️ Categorieregels'!$A:$A,B79)),0)),"Onbekend")</f>
        <v/>
      </c>
      <c r="K79">
        <f>IFERROR(INDEX('🏷️ Categorieregels'!$C:$C,MATCH(TRUE,ISNUMBER(SEARCH('🏷️ Categorieregels'!$A:$A,B79)),0)),"")</f>
        <v/>
      </c>
    </row>
    <row r="80">
      <c r="A80">
        <f>'📥 CSV Import'!A83</f>
        <v/>
      </c>
      <c r="B80">
        <f>'📥 CSV Import'!B83</f>
        <v/>
      </c>
      <c r="C80">
        <f>'📥 CSV Import'!C83</f>
        <v/>
      </c>
      <c r="D80">
        <f>'📥 CSV Import'!D83</f>
        <v/>
      </c>
      <c r="E80">
        <f>IF(A80&lt;&gt;"",YEAR(A80),"")</f>
        <v/>
      </c>
      <c r="F80">
        <f>IF(A80&lt;&gt;"",TEXT(A80,"YYYY-MM"),"")</f>
        <v/>
      </c>
      <c r="G80">
        <f>IF(A80&lt;&gt;"",TEXT(A80,"MMMM YYYY"),"")</f>
        <v/>
      </c>
      <c r="H80">
        <f>IF(C80&gt;0,"Inkomsten",IF(C80&lt;0,"Uitgaven",""))</f>
        <v/>
      </c>
      <c r="I80">
        <f>IF(C80&lt;&gt;"",ABS(C80),"")</f>
        <v/>
      </c>
      <c r="J80">
        <f>IFERROR(INDEX('🏷️ Categorieregels'!$B:$B,MATCH(TRUE,ISNUMBER(SEARCH('🏷️ Categorieregels'!$A:$A,B80)),0)),"Onbekend")</f>
        <v/>
      </c>
      <c r="K80">
        <f>IFERROR(INDEX('🏷️ Categorieregels'!$C:$C,MATCH(TRUE,ISNUMBER(SEARCH('🏷️ Categorieregels'!$A:$A,B80)),0)),"")</f>
        <v/>
      </c>
    </row>
    <row r="81">
      <c r="A81">
        <f>'📥 CSV Import'!A84</f>
        <v/>
      </c>
      <c r="B81">
        <f>'📥 CSV Import'!B84</f>
        <v/>
      </c>
      <c r="C81">
        <f>'📥 CSV Import'!C84</f>
        <v/>
      </c>
      <c r="D81">
        <f>'📥 CSV Import'!D84</f>
        <v/>
      </c>
      <c r="E81">
        <f>IF(A81&lt;&gt;"",YEAR(A81),"")</f>
        <v/>
      </c>
      <c r="F81">
        <f>IF(A81&lt;&gt;"",TEXT(A81,"YYYY-MM"),"")</f>
        <v/>
      </c>
      <c r="G81">
        <f>IF(A81&lt;&gt;"",TEXT(A81,"MMMM YYYY"),"")</f>
        <v/>
      </c>
      <c r="H81">
        <f>IF(C81&gt;0,"Inkomsten",IF(C81&lt;0,"Uitgaven",""))</f>
        <v/>
      </c>
      <c r="I81">
        <f>IF(C81&lt;&gt;"",ABS(C81),"")</f>
        <v/>
      </c>
      <c r="J81">
        <f>IFERROR(INDEX('🏷️ Categorieregels'!$B:$B,MATCH(TRUE,ISNUMBER(SEARCH('🏷️ Categorieregels'!$A:$A,B81)),0)),"Onbekend")</f>
        <v/>
      </c>
      <c r="K81">
        <f>IFERROR(INDEX('🏷️ Categorieregels'!$C:$C,MATCH(TRUE,ISNUMBER(SEARCH('🏷️ Categorieregels'!$A:$A,B81)),0)),"")</f>
        <v/>
      </c>
    </row>
    <row r="82">
      <c r="A82">
        <f>'📥 CSV Import'!A85</f>
        <v/>
      </c>
      <c r="B82">
        <f>'📥 CSV Import'!B85</f>
        <v/>
      </c>
      <c r="C82">
        <f>'📥 CSV Import'!C85</f>
        <v/>
      </c>
      <c r="D82">
        <f>'📥 CSV Import'!D85</f>
        <v/>
      </c>
      <c r="E82">
        <f>IF(A82&lt;&gt;"",YEAR(A82),"")</f>
        <v/>
      </c>
      <c r="F82">
        <f>IF(A82&lt;&gt;"",TEXT(A82,"YYYY-MM"),"")</f>
        <v/>
      </c>
      <c r="G82">
        <f>IF(A82&lt;&gt;"",TEXT(A82,"MMMM YYYY"),"")</f>
        <v/>
      </c>
      <c r="H82">
        <f>IF(C82&gt;0,"Inkomsten",IF(C82&lt;0,"Uitgaven",""))</f>
        <v/>
      </c>
      <c r="I82">
        <f>IF(C82&lt;&gt;"",ABS(C82),"")</f>
        <v/>
      </c>
      <c r="J82">
        <f>IFERROR(INDEX('🏷️ Categorieregels'!$B:$B,MATCH(TRUE,ISNUMBER(SEARCH('🏷️ Categorieregels'!$A:$A,B82)),0)),"Onbekend")</f>
        <v/>
      </c>
      <c r="K82">
        <f>IFERROR(INDEX('🏷️ Categorieregels'!$C:$C,MATCH(TRUE,ISNUMBER(SEARCH('🏷️ Categorieregels'!$A:$A,B82)),0)),"")</f>
        <v/>
      </c>
    </row>
    <row r="83">
      <c r="A83">
        <f>'📥 CSV Import'!A86</f>
        <v/>
      </c>
      <c r="B83">
        <f>'📥 CSV Import'!B86</f>
        <v/>
      </c>
      <c r="C83">
        <f>'📥 CSV Import'!C86</f>
        <v/>
      </c>
      <c r="D83">
        <f>'📥 CSV Import'!D86</f>
        <v/>
      </c>
      <c r="E83">
        <f>IF(A83&lt;&gt;"",YEAR(A83),"")</f>
        <v/>
      </c>
      <c r="F83">
        <f>IF(A83&lt;&gt;"",TEXT(A83,"YYYY-MM"),"")</f>
        <v/>
      </c>
      <c r="G83">
        <f>IF(A83&lt;&gt;"",TEXT(A83,"MMMM YYYY"),"")</f>
        <v/>
      </c>
      <c r="H83">
        <f>IF(C83&gt;0,"Inkomsten",IF(C83&lt;0,"Uitgaven",""))</f>
        <v/>
      </c>
      <c r="I83">
        <f>IF(C83&lt;&gt;"",ABS(C83),"")</f>
        <v/>
      </c>
      <c r="J83">
        <f>IFERROR(INDEX('🏷️ Categorieregels'!$B:$B,MATCH(TRUE,ISNUMBER(SEARCH('🏷️ Categorieregels'!$A:$A,B83)),0)),"Onbekend")</f>
        <v/>
      </c>
      <c r="K83">
        <f>IFERROR(INDEX('🏷️ Categorieregels'!$C:$C,MATCH(TRUE,ISNUMBER(SEARCH('🏷️ Categorieregels'!$A:$A,B83)),0)),"")</f>
        <v/>
      </c>
    </row>
    <row r="84">
      <c r="A84">
        <f>'📥 CSV Import'!A87</f>
        <v/>
      </c>
      <c r="B84">
        <f>'📥 CSV Import'!B87</f>
        <v/>
      </c>
      <c r="C84">
        <f>'📥 CSV Import'!C87</f>
        <v/>
      </c>
      <c r="D84">
        <f>'📥 CSV Import'!D87</f>
        <v/>
      </c>
      <c r="E84">
        <f>IF(A84&lt;&gt;"",YEAR(A84),"")</f>
        <v/>
      </c>
      <c r="F84">
        <f>IF(A84&lt;&gt;"",TEXT(A84,"YYYY-MM"),"")</f>
        <v/>
      </c>
      <c r="G84">
        <f>IF(A84&lt;&gt;"",TEXT(A84,"MMMM YYYY"),"")</f>
        <v/>
      </c>
      <c r="H84">
        <f>IF(C84&gt;0,"Inkomsten",IF(C84&lt;0,"Uitgaven",""))</f>
        <v/>
      </c>
      <c r="I84">
        <f>IF(C84&lt;&gt;"",ABS(C84),"")</f>
        <v/>
      </c>
      <c r="J84">
        <f>IFERROR(INDEX('🏷️ Categorieregels'!$B:$B,MATCH(TRUE,ISNUMBER(SEARCH('🏷️ Categorieregels'!$A:$A,B84)),0)),"Onbekend")</f>
        <v/>
      </c>
      <c r="K84">
        <f>IFERROR(INDEX('🏷️ Categorieregels'!$C:$C,MATCH(TRUE,ISNUMBER(SEARCH('🏷️ Categorieregels'!$A:$A,B84)),0)),"")</f>
        <v/>
      </c>
    </row>
    <row r="85">
      <c r="A85">
        <f>'📥 CSV Import'!A88</f>
        <v/>
      </c>
      <c r="B85">
        <f>'📥 CSV Import'!B88</f>
        <v/>
      </c>
      <c r="C85">
        <f>'📥 CSV Import'!C88</f>
        <v/>
      </c>
      <c r="D85">
        <f>'📥 CSV Import'!D88</f>
        <v/>
      </c>
      <c r="E85">
        <f>IF(A85&lt;&gt;"",YEAR(A85),"")</f>
        <v/>
      </c>
      <c r="F85">
        <f>IF(A85&lt;&gt;"",TEXT(A85,"YYYY-MM"),"")</f>
        <v/>
      </c>
      <c r="G85">
        <f>IF(A85&lt;&gt;"",TEXT(A85,"MMMM YYYY"),"")</f>
        <v/>
      </c>
      <c r="H85">
        <f>IF(C85&gt;0,"Inkomsten",IF(C85&lt;0,"Uitgaven",""))</f>
        <v/>
      </c>
      <c r="I85">
        <f>IF(C85&lt;&gt;"",ABS(C85),"")</f>
        <v/>
      </c>
      <c r="J85">
        <f>IFERROR(INDEX('🏷️ Categorieregels'!$B:$B,MATCH(TRUE,ISNUMBER(SEARCH('🏷️ Categorieregels'!$A:$A,B85)),0)),"Onbekend")</f>
        <v/>
      </c>
      <c r="K85">
        <f>IFERROR(INDEX('🏷️ Categorieregels'!$C:$C,MATCH(TRUE,ISNUMBER(SEARCH('🏷️ Categorieregels'!$A:$A,B85)),0)),"")</f>
        <v/>
      </c>
    </row>
    <row r="86">
      <c r="A86">
        <f>'📥 CSV Import'!A89</f>
        <v/>
      </c>
      <c r="B86">
        <f>'📥 CSV Import'!B89</f>
        <v/>
      </c>
      <c r="C86">
        <f>'📥 CSV Import'!C89</f>
        <v/>
      </c>
      <c r="D86">
        <f>'📥 CSV Import'!D89</f>
        <v/>
      </c>
      <c r="E86">
        <f>IF(A86&lt;&gt;"",YEAR(A86),"")</f>
        <v/>
      </c>
      <c r="F86">
        <f>IF(A86&lt;&gt;"",TEXT(A86,"YYYY-MM"),"")</f>
        <v/>
      </c>
      <c r="G86">
        <f>IF(A86&lt;&gt;"",TEXT(A86,"MMMM YYYY"),"")</f>
        <v/>
      </c>
      <c r="H86">
        <f>IF(C86&gt;0,"Inkomsten",IF(C86&lt;0,"Uitgaven",""))</f>
        <v/>
      </c>
      <c r="I86">
        <f>IF(C86&lt;&gt;"",ABS(C86),"")</f>
        <v/>
      </c>
      <c r="J86">
        <f>IFERROR(INDEX('🏷️ Categorieregels'!$B:$B,MATCH(TRUE,ISNUMBER(SEARCH('🏷️ Categorieregels'!$A:$A,B86)),0)),"Onbekend")</f>
        <v/>
      </c>
      <c r="K86">
        <f>IFERROR(INDEX('🏷️ Categorieregels'!$C:$C,MATCH(TRUE,ISNUMBER(SEARCH('🏷️ Categorieregels'!$A:$A,B86)),0)),"")</f>
        <v/>
      </c>
    </row>
    <row r="87">
      <c r="A87">
        <f>'📥 CSV Import'!A90</f>
        <v/>
      </c>
      <c r="B87">
        <f>'📥 CSV Import'!B90</f>
        <v/>
      </c>
      <c r="C87">
        <f>'📥 CSV Import'!C90</f>
        <v/>
      </c>
      <c r="D87">
        <f>'📥 CSV Import'!D90</f>
        <v/>
      </c>
      <c r="E87">
        <f>IF(A87&lt;&gt;"",YEAR(A87),"")</f>
        <v/>
      </c>
      <c r="F87">
        <f>IF(A87&lt;&gt;"",TEXT(A87,"YYYY-MM"),"")</f>
        <v/>
      </c>
      <c r="G87">
        <f>IF(A87&lt;&gt;"",TEXT(A87,"MMMM YYYY"),"")</f>
        <v/>
      </c>
      <c r="H87">
        <f>IF(C87&gt;0,"Inkomsten",IF(C87&lt;0,"Uitgaven",""))</f>
        <v/>
      </c>
      <c r="I87">
        <f>IF(C87&lt;&gt;"",ABS(C87),"")</f>
        <v/>
      </c>
      <c r="J87">
        <f>IFERROR(INDEX('🏷️ Categorieregels'!$B:$B,MATCH(TRUE,ISNUMBER(SEARCH('🏷️ Categorieregels'!$A:$A,B87)),0)),"Onbekend")</f>
        <v/>
      </c>
      <c r="K87">
        <f>IFERROR(INDEX('🏷️ Categorieregels'!$C:$C,MATCH(TRUE,ISNUMBER(SEARCH('🏷️ Categorieregels'!$A:$A,B87)),0)),"")</f>
        <v/>
      </c>
    </row>
    <row r="88">
      <c r="A88">
        <f>'📥 CSV Import'!A91</f>
        <v/>
      </c>
      <c r="B88">
        <f>'📥 CSV Import'!B91</f>
        <v/>
      </c>
      <c r="C88">
        <f>'📥 CSV Import'!C91</f>
        <v/>
      </c>
      <c r="D88">
        <f>'📥 CSV Import'!D91</f>
        <v/>
      </c>
      <c r="E88">
        <f>IF(A88&lt;&gt;"",YEAR(A88),"")</f>
        <v/>
      </c>
      <c r="F88">
        <f>IF(A88&lt;&gt;"",TEXT(A88,"YYYY-MM"),"")</f>
        <v/>
      </c>
      <c r="G88">
        <f>IF(A88&lt;&gt;"",TEXT(A88,"MMMM YYYY"),"")</f>
        <v/>
      </c>
      <c r="H88">
        <f>IF(C88&gt;0,"Inkomsten",IF(C88&lt;0,"Uitgaven",""))</f>
        <v/>
      </c>
      <c r="I88">
        <f>IF(C88&lt;&gt;"",ABS(C88),"")</f>
        <v/>
      </c>
      <c r="J88">
        <f>IFERROR(INDEX('🏷️ Categorieregels'!$B:$B,MATCH(TRUE,ISNUMBER(SEARCH('🏷️ Categorieregels'!$A:$A,B88)),0)),"Onbekend")</f>
        <v/>
      </c>
      <c r="K88">
        <f>IFERROR(INDEX('🏷️ Categorieregels'!$C:$C,MATCH(TRUE,ISNUMBER(SEARCH('🏷️ Categorieregels'!$A:$A,B88)),0)),"")</f>
        <v/>
      </c>
    </row>
    <row r="89">
      <c r="A89">
        <f>'📥 CSV Import'!A92</f>
        <v/>
      </c>
      <c r="B89">
        <f>'📥 CSV Import'!B92</f>
        <v/>
      </c>
      <c r="C89">
        <f>'📥 CSV Import'!C92</f>
        <v/>
      </c>
      <c r="D89">
        <f>'📥 CSV Import'!D92</f>
        <v/>
      </c>
      <c r="E89">
        <f>IF(A89&lt;&gt;"",YEAR(A89),"")</f>
        <v/>
      </c>
      <c r="F89">
        <f>IF(A89&lt;&gt;"",TEXT(A89,"YYYY-MM"),"")</f>
        <v/>
      </c>
      <c r="G89">
        <f>IF(A89&lt;&gt;"",TEXT(A89,"MMMM YYYY"),"")</f>
        <v/>
      </c>
      <c r="H89">
        <f>IF(C89&gt;0,"Inkomsten",IF(C89&lt;0,"Uitgaven",""))</f>
        <v/>
      </c>
      <c r="I89">
        <f>IF(C89&lt;&gt;"",ABS(C89),"")</f>
        <v/>
      </c>
      <c r="J89">
        <f>IFERROR(INDEX('🏷️ Categorieregels'!$B:$B,MATCH(TRUE,ISNUMBER(SEARCH('🏷️ Categorieregels'!$A:$A,B89)),0)),"Onbekend")</f>
        <v/>
      </c>
      <c r="K89">
        <f>IFERROR(INDEX('🏷️ Categorieregels'!$C:$C,MATCH(TRUE,ISNUMBER(SEARCH('🏷️ Categorieregels'!$A:$A,B89)),0)),"")</f>
        <v/>
      </c>
    </row>
    <row r="90">
      <c r="A90">
        <f>'📥 CSV Import'!A93</f>
        <v/>
      </c>
      <c r="B90">
        <f>'📥 CSV Import'!B93</f>
        <v/>
      </c>
      <c r="C90">
        <f>'📥 CSV Import'!C93</f>
        <v/>
      </c>
      <c r="D90">
        <f>'📥 CSV Import'!D93</f>
        <v/>
      </c>
      <c r="E90">
        <f>IF(A90&lt;&gt;"",YEAR(A90),"")</f>
        <v/>
      </c>
      <c r="F90">
        <f>IF(A90&lt;&gt;"",TEXT(A90,"YYYY-MM"),"")</f>
        <v/>
      </c>
      <c r="G90">
        <f>IF(A90&lt;&gt;"",TEXT(A90,"MMMM YYYY"),"")</f>
        <v/>
      </c>
      <c r="H90">
        <f>IF(C90&gt;0,"Inkomsten",IF(C90&lt;0,"Uitgaven",""))</f>
        <v/>
      </c>
      <c r="I90">
        <f>IF(C90&lt;&gt;"",ABS(C90),"")</f>
        <v/>
      </c>
      <c r="J90">
        <f>IFERROR(INDEX('🏷️ Categorieregels'!$B:$B,MATCH(TRUE,ISNUMBER(SEARCH('🏷️ Categorieregels'!$A:$A,B90)),0)),"Onbekend")</f>
        <v/>
      </c>
      <c r="K90">
        <f>IFERROR(INDEX('🏷️ Categorieregels'!$C:$C,MATCH(TRUE,ISNUMBER(SEARCH('🏷️ Categorieregels'!$A:$A,B90)),0)),"")</f>
        <v/>
      </c>
    </row>
    <row r="91">
      <c r="A91">
        <f>'📥 CSV Import'!A94</f>
        <v/>
      </c>
      <c r="B91">
        <f>'📥 CSV Import'!B94</f>
        <v/>
      </c>
      <c r="C91">
        <f>'📥 CSV Import'!C94</f>
        <v/>
      </c>
      <c r="D91">
        <f>'📥 CSV Import'!D94</f>
        <v/>
      </c>
      <c r="E91">
        <f>IF(A91&lt;&gt;"",YEAR(A91),"")</f>
        <v/>
      </c>
      <c r="F91">
        <f>IF(A91&lt;&gt;"",TEXT(A91,"YYYY-MM"),"")</f>
        <v/>
      </c>
      <c r="G91">
        <f>IF(A91&lt;&gt;"",TEXT(A91,"MMMM YYYY"),"")</f>
        <v/>
      </c>
      <c r="H91">
        <f>IF(C91&gt;0,"Inkomsten",IF(C91&lt;0,"Uitgaven",""))</f>
        <v/>
      </c>
      <c r="I91">
        <f>IF(C91&lt;&gt;"",ABS(C91),"")</f>
        <v/>
      </c>
      <c r="J91">
        <f>IFERROR(INDEX('🏷️ Categorieregels'!$B:$B,MATCH(TRUE,ISNUMBER(SEARCH('🏷️ Categorieregels'!$A:$A,B91)),0)),"Onbekend")</f>
        <v/>
      </c>
      <c r="K91">
        <f>IFERROR(INDEX('🏷️ Categorieregels'!$C:$C,MATCH(TRUE,ISNUMBER(SEARCH('🏷️ Categorieregels'!$A:$A,B91)),0)),"")</f>
        <v/>
      </c>
    </row>
    <row r="92">
      <c r="A92">
        <f>'📥 CSV Import'!A95</f>
        <v/>
      </c>
      <c r="B92">
        <f>'📥 CSV Import'!B95</f>
        <v/>
      </c>
      <c r="C92">
        <f>'📥 CSV Import'!C95</f>
        <v/>
      </c>
      <c r="D92">
        <f>'📥 CSV Import'!D95</f>
        <v/>
      </c>
      <c r="E92">
        <f>IF(A92&lt;&gt;"",YEAR(A92),"")</f>
        <v/>
      </c>
      <c r="F92">
        <f>IF(A92&lt;&gt;"",TEXT(A92,"YYYY-MM"),"")</f>
        <v/>
      </c>
      <c r="G92">
        <f>IF(A92&lt;&gt;"",TEXT(A92,"MMMM YYYY"),"")</f>
        <v/>
      </c>
      <c r="H92">
        <f>IF(C92&gt;0,"Inkomsten",IF(C92&lt;0,"Uitgaven",""))</f>
        <v/>
      </c>
      <c r="I92">
        <f>IF(C92&lt;&gt;"",ABS(C92),"")</f>
        <v/>
      </c>
      <c r="J92">
        <f>IFERROR(INDEX('🏷️ Categorieregels'!$B:$B,MATCH(TRUE,ISNUMBER(SEARCH('🏷️ Categorieregels'!$A:$A,B92)),0)),"Onbekend")</f>
        <v/>
      </c>
      <c r="K92">
        <f>IFERROR(INDEX('🏷️ Categorieregels'!$C:$C,MATCH(TRUE,ISNUMBER(SEARCH('🏷️ Categorieregels'!$A:$A,B92)),0)),"")</f>
        <v/>
      </c>
    </row>
    <row r="93">
      <c r="A93">
        <f>'📥 CSV Import'!A96</f>
        <v/>
      </c>
      <c r="B93">
        <f>'📥 CSV Import'!B96</f>
        <v/>
      </c>
      <c r="C93">
        <f>'📥 CSV Import'!C96</f>
        <v/>
      </c>
      <c r="D93">
        <f>'📥 CSV Import'!D96</f>
        <v/>
      </c>
      <c r="E93">
        <f>IF(A93&lt;&gt;"",YEAR(A93),"")</f>
        <v/>
      </c>
      <c r="F93">
        <f>IF(A93&lt;&gt;"",TEXT(A93,"YYYY-MM"),"")</f>
        <v/>
      </c>
      <c r="G93">
        <f>IF(A93&lt;&gt;"",TEXT(A93,"MMMM YYYY"),"")</f>
        <v/>
      </c>
      <c r="H93">
        <f>IF(C93&gt;0,"Inkomsten",IF(C93&lt;0,"Uitgaven",""))</f>
        <v/>
      </c>
      <c r="I93">
        <f>IF(C93&lt;&gt;"",ABS(C93),"")</f>
        <v/>
      </c>
      <c r="J93">
        <f>IFERROR(INDEX('🏷️ Categorieregels'!$B:$B,MATCH(TRUE,ISNUMBER(SEARCH('🏷️ Categorieregels'!$A:$A,B93)),0)),"Onbekend")</f>
        <v/>
      </c>
      <c r="K93">
        <f>IFERROR(INDEX('🏷️ Categorieregels'!$C:$C,MATCH(TRUE,ISNUMBER(SEARCH('🏷️ Categorieregels'!$A:$A,B93)),0)),"")</f>
        <v/>
      </c>
    </row>
    <row r="94">
      <c r="A94">
        <f>'📥 CSV Import'!A97</f>
        <v/>
      </c>
      <c r="B94">
        <f>'📥 CSV Import'!B97</f>
        <v/>
      </c>
      <c r="C94">
        <f>'📥 CSV Import'!C97</f>
        <v/>
      </c>
      <c r="D94">
        <f>'📥 CSV Import'!D97</f>
        <v/>
      </c>
      <c r="E94">
        <f>IF(A94&lt;&gt;"",YEAR(A94),"")</f>
        <v/>
      </c>
      <c r="F94">
        <f>IF(A94&lt;&gt;"",TEXT(A94,"YYYY-MM"),"")</f>
        <v/>
      </c>
      <c r="G94">
        <f>IF(A94&lt;&gt;"",TEXT(A94,"MMMM YYYY"),"")</f>
        <v/>
      </c>
      <c r="H94">
        <f>IF(C94&gt;0,"Inkomsten",IF(C94&lt;0,"Uitgaven",""))</f>
        <v/>
      </c>
      <c r="I94">
        <f>IF(C94&lt;&gt;"",ABS(C94),"")</f>
        <v/>
      </c>
      <c r="J94">
        <f>IFERROR(INDEX('🏷️ Categorieregels'!$B:$B,MATCH(TRUE,ISNUMBER(SEARCH('🏷️ Categorieregels'!$A:$A,B94)),0)),"Onbekend")</f>
        <v/>
      </c>
      <c r="K94">
        <f>IFERROR(INDEX('🏷️ Categorieregels'!$C:$C,MATCH(TRUE,ISNUMBER(SEARCH('🏷️ Categorieregels'!$A:$A,B94)),0)),"")</f>
        <v/>
      </c>
    </row>
    <row r="95">
      <c r="A95">
        <f>'📥 CSV Import'!A98</f>
        <v/>
      </c>
      <c r="B95">
        <f>'📥 CSV Import'!B98</f>
        <v/>
      </c>
      <c r="C95">
        <f>'📥 CSV Import'!C98</f>
        <v/>
      </c>
      <c r="D95">
        <f>'📥 CSV Import'!D98</f>
        <v/>
      </c>
      <c r="E95">
        <f>IF(A95&lt;&gt;"",YEAR(A95),"")</f>
        <v/>
      </c>
      <c r="F95">
        <f>IF(A95&lt;&gt;"",TEXT(A95,"YYYY-MM"),"")</f>
        <v/>
      </c>
      <c r="G95">
        <f>IF(A95&lt;&gt;"",TEXT(A95,"MMMM YYYY"),"")</f>
        <v/>
      </c>
      <c r="H95">
        <f>IF(C95&gt;0,"Inkomsten",IF(C95&lt;0,"Uitgaven",""))</f>
        <v/>
      </c>
      <c r="I95">
        <f>IF(C95&lt;&gt;"",ABS(C95),"")</f>
        <v/>
      </c>
      <c r="J95">
        <f>IFERROR(INDEX('🏷️ Categorieregels'!$B:$B,MATCH(TRUE,ISNUMBER(SEARCH('🏷️ Categorieregels'!$A:$A,B95)),0)),"Onbekend")</f>
        <v/>
      </c>
      <c r="K95">
        <f>IFERROR(INDEX('🏷️ Categorieregels'!$C:$C,MATCH(TRUE,ISNUMBER(SEARCH('🏷️ Categorieregels'!$A:$A,B95)),0)),"")</f>
        <v/>
      </c>
    </row>
    <row r="96">
      <c r="A96">
        <f>'📥 CSV Import'!A99</f>
        <v/>
      </c>
      <c r="B96">
        <f>'📥 CSV Import'!B99</f>
        <v/>
      </c>
      <c r="C96">
        <f>'📥 CSV Import'!C99</f>
        <v/>
      </c>
      <c r="D96">
        <f>'📥 CSV Import'!D99</f>
        <v/>
      </c>
      <c r="E96">
        <f>IF(A96&lt;&gt;"",YEAR(A96),"")</f>
        <v/>
      </c>
      <c r="F96">
        <f>IF(A96&lt;&gt;"",TEXT(A96,"YYYY-MM"),"")</f>
        <v/>
      </c>
      <c r="G96">
        <f>IF(A96&lt;&gt;"",TEXT(A96,"MMMM YYYY"),"")</f>
        <v/>
      </c>
      <c r="H96">
        <f>IF(C96&gt;0,"Inkomsten",IF(C96&lt;0,"Uitgaven",""))</f>
        <v/>
      </c>
      <c r="I96">
        <f>IF(C96&lt;&gt;"",ABS(C96),"")</f>
        <v/>
      </c>
      <c r="J96">
        <f>IFERROR(INDEX('🏷️ Categorieregels'!$B:$B,MATCH(TRUE,ISNUMBER(SEARCH('🏷️ Categorieregels'!$A:$A,B96)),0)),"Onbekend")</f>
        <v/>
      </c>
      <c r="K96">
        <f>IFERROR(INDEX('🏷️ Categorieregels'!$C:$C,MATCH(TRUE,ISNUMBER(SEARCH('🏷️ Categorieregels'!$A:$A,B96)),0)),"")</f>
        <v/>
      </c>
    </row>
    <row r="97">
      <c r="A97">
        <f>'📥 CSV Import'!A100</f>
        <v/>
      </c>
      <c r="B97">
        <f>'📥 CSV Import'!B100</f>
        <v/>
      </c>
      <c r="C97">
        <f>'📥 CSV Import'!C100</f>
        <v/>
      </c>
      <c r="D97">
        <f>'📥 CSV Import'!D100</f>
        <v/>
      </c>
      <c r="E97">
        <f>IF(A97&lt;&gt;"",YEAR(A97),"")</f>
        <v/>
      </c>
      <c r="F97">
        <f>IF(A97&lt;&gt;"",TEXT(A97,"YYYY-MM"),"")</f>
        <v/>
      </c>
      <c r="G97">
        <f>IF(A97&lt;&gt;"",TEXT(A97,"MMMM YYYY"),"")</f>
        <v/>
      </c>
      <c r="H97">
        <f>IF(C97&gt;0,"Inkomsten",IF(C97&lt;0,"Uitgaven",""))</f>
        <v/>
      </c>
      <c r="I97">
        <f>IF(C97&lt;&gt;"",ABS(C97),"")</f>
        <v/>
      </c>
      <c r="J97">
        <f>IFERROR(INDEX('🏷️ Categorieregels'!$B:$B,MATCH(TRUE,ISNUMBER(SEARCH('🏷️ Categorieregels'!$A:$A,B97)),0)),"Onbekend")</f>
        <v/>
      </c>
      <c r="K97">
        <f>IFERROR(INDEX('🏷️ Categorieregels'!$C:$C,MATCH(TRUE,ISNUMBER(SEARCH('🏷️ Categorieregels'!$A:$A,B97)),0)),"")</f>
        <v/>
      </c>
    </row>
    <row r="98">
      <c r="A98">
        <f>'📥 CSV Import'!A101</f>
        <v/>
      </c>
      <c r="B98">
        <f>'📥 CSV Import'!B101</f>
        <v/>
      </c>
      <c r="C98">
        <f>'📥 CSV Import'!C101</f>
        <v/>
      </c>
      <c r="D98">
        <f>'📥 CSV Import'!D101</f>
        <v/>
      </c>
      <c r="E98">
        <f>IF(A98&lt;&gt;"",YEAR(A98),"")</f>
        <v/>
      </c>
      <c r="F98">
        <f>IF(A98&lt;&gt;"",TEXT(A98,"YYYY-MM"),"")</f>
        <v/>
      </c>
      <c r="G98">
        <f>IF(A98&lt;&gt;"",TEXT(A98,"MMMM YYYY"),"")</f>
        <v/>
      </c>
      <c r="H98">
        <f>IF(C98&gt;0,"Inkomsten",IF(C98&lt;0,"Uitgaven",""))</f>
        <v/>
      </c>
      <c r="I98">
        <f>IF(C98&lt;&gt;"",ABS(C98),"")</f>
        <v/>
      </c>
      <c r="J98">
        <f>IFERROR(INDEX('🏷️ Categorieregels'!$B:$B,MATCH(TRUE,ISNUMBER(SEARCH('🏷️ Categorieregels'!$A:$A,B98)),0)),"Onbekend")</f>
        <v/>
      </c>
      <c r="K98">
        <f>IFERROR(INDEX('🏷️ Categorieregels'!$C:$C,MATCH(TRUE,ISNUMBER(SEARCH('🏷️ Categorieregels'!$A:$A,B98)),0)),"")</f>
        <v/>
      </c>
    </row>
    <row r="99">
      <c r="A99">
        <f>'📥 CSV Import'!A102</f>
        <v/>
      </c>
      <c r="B99">
        <f>'📥 CSV Import'!B102</f>
        <v/>
      </c>
      <c r="C99">
        <f>'📥 CSV Import'!C102</f>
        <v/>
      </c>
      <c r="D99">
        <f>'📥 CSV Import'!D102</f>
        <v/>
      </c>
      <c r="E99">
        <f>IF(A99&lt;&gt;"",YEAR(A99),"")</f>
        <v/>
      </c>
      <c r="F99">
        <f>IF(A99&lt;&gt;"",TEXT(A99,"YYYY-MM"),"")</f>
        <v/>
      </c>
      <c r="G99">
        <f>IF(A99&lt;&gt;"",TEXT(A99,"MMMM YYYY"),"")</f>
        <v/>
      </c>
      <c r="H99">
        <f>IF(C99&gt;0,"Inkomsten",IF(C99&lt;0,"Uitgaven",""))</f>
        <v/>
      </c>
      <c r="I99">
        <f>IF(C99&lt;&gt;"",ABS(C99),"")</f>
        <v/>
      </c>
      <c r="J99">
        <f>IFERROR(INDEX('🏷️ Categorieregels'!$B:$B,MATCH(TRUE,ISNUMBER(SEARCH('🏷️ Categorieregels'!$A:$A,B99)),0)),"Onbekend")</f>
        <v/>
      </c>
      <c r="K99">
        <f>IFERROR(INDEX('🏷️ Categorieregels'!$C:$C,MATCH(TRUE,ISNUMBER(SEARCH('🏷️ Categorieregels'!$A:$A,B99)),0)),"")</f>
        <v/>
      </c>
    </row>
    <row r="100">
      <c r="A100">
        <f>'📥 CSV Import'!A103</f>
        <v/>
      </c>
      <c r="B100">
        <f>'📥 CSV Import'!B103</f>
        <v/>
      </c>
      <c r="C100">
        <f>'📥 CSV Import'!C103</f>
        <v/>
      </c>
      <c r="D100">
        <f>'📥 CSV Import'!D103</f>
        <v/>
      </c>
      <c r="E100">
        <f>IF(A100&lt;&gt;"",YEAR(A100),"")</f>
        <v/>
      </c>
      <c r="F100">
        <f>IF(A100&lt;&gt;"",TEXT(A100,"YYYY-MM"),"")</f>
        <v/>
      </c>
      <c r="G100">
        <f>IF(A100&lt;&gt;"",TEXT(A100,"MMMM YYYY"),"")</f>
        <v/>
      </c>
      <c r="H100">
        <f>IF(C100&gt;0,"Inkomsten",IF(C100&lt;0,"Uitgaven",""))</f>
        <v/>
      </c>
      <c r="I100">
        <f>IF(C100&lt;&gt;"",ABS(C100),"")</f>
        <v/>
      </c>
      <c r="J100">
        <f>IFERROR(INDEX('🏷️ Categorieregels'!$B:$B,MATCH(TRUE,ISNUMBER(SEARCH('🏷️ Categorieregels'!$A:$A,B100)),0)),"Onbekend")</f>
        <v/>
      </c>
      <c r="K100">
        <f>IFERROR(INDEX('🏷️ Categorieregels'!$C:$C,MATCH(TRUE,ISNUMBER(SEARCH('🏷️ Categorieregels'!$A:$A,B100)),0)),"")</f>
        <v/>
      </c>
    </row>
    <row r="101">
      <c r="A101">
        <f>'📥 CSV Import'!A104</f>
        <v/>
      </c>
      <c r="B101">
        <f>'📥 CSV Import'!B104</f>
        <v/>
      </c>
      <c r="C101">
        <f>'📥 CSV Import'!C104</f>
        <v/>
      </c>
      <c r="D101">
        <f>'📥 CSV Import'!D104</f>
        <v/>
      </c>
      <c r="E101">
        <f>IF(A101&lt;&gt;"",YEAR(A101),"")</f>
        <v/>
      </c>
      <c r="F101">
        <f>IF(A101&lt;&gt;"",TEXT(A101,"YYYY-MM"),"")</f>
        <v/>
      </c>
      <c r="G101">
        <f>IF(A101&lt;&gt;"",TEXT(A101,"MMMM YYYY"),"")</f>
        <v/>
      </c>
      <c r="H101">
        <f>IF(C101&gt;0,"Inkomsten",IF(C101&lt;0,"Uitgaven",""))</f>
        <v/>
      </c>
      <c r="I101">
        <f>IF(C101&lt;&gt;"",ABS(C101),"")</f>
        <v/>
      </c>
      <c r="J101">
        <f>IFERROR(INDEX('🏷️ Categorieregels'!$B:$B,MATCH(TRUE,ISNUMBER(SEARCH('🏷️ Categorieregels'!$A:$A,B101)),0)),"Onbekend")</f>
        <v/>
      </c>
      <c r="K101">
        <f>IFERROR(INDEX('🏷️ Categorieregels'!$C:$C,MATCH(TRUE,ISNUMBER(SEARCH('🏷️ Categorieregels'!$A:$A,B101)),0)),"")</f>
        <v/>
      </c>
    </row>
  </sheetData>
  <autoFilter ref="A1:K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 ht="30" customHeight="1">
      <c r="A1" s="14" t="inlineStr">
        <is>
          <t>📊 DASHBOARD</t>
        </is>
      </c>
    </row>
    <row r="3">
      <c r="A3" s="15" t="inlineStr">
        <is>
          <t>OVERZICHT</t>
        </is>
      </c>
    </row>
    <row r="5">
      <c r="A5" t="inlineStr">
        <is>
          <t>Totaal Inkomsten:</t>
        </is>
      </c>
      <c r="B5" s="16">
        <f>SUMIF('✅ Data Verwerkt'!H:H,"Inkomsten",'✅ Data Verwerkt'!I:I)</f>
        <v/>
      </c>
    </row>
    <row r="6">
      <c r="A6" t="inlineStr">
        <is>
          <t>Totaal Uitgaven:</t>
        </is>
      </c>
      <c r="B6" s="17">
        <f>SUMIF('✅ Data Verwerkt'!H:H,"Uitgaven",'✅ Data Verwerkt'!I:I)</f>
        <v/>
      </c>
    </row>
    <row r="7">
      <c r="A7" t="inlineStr">
        <is>
          <t>Saldo:</t>
        </is>
      </c>
      <c r="B7" s="18">
        <f>B5-B6</f>
        <v/>
      </c>
    </row>
    <row r="9">
      <c r="A9" t="inlineStr">
        <is>
          <t>Aantal Transacties:</t>
        </is>
      </c>
      <c r="B9">
        <f>COUNTA('✅ Data Verwerkt'!A:A)-1</f>
        <v/>
      </c>
    </row>
    <row r="11">
      <c r="A11" s="19" t="inlineStr">
        <is>
          <t>💡 TIP: Maak een PivotTable voor gedetailleerde analyses</t>
        </is>
      </c>
    </row>
    <row r="12">
      <c r="A12" s="19" t="inlineStr">
        <is>
          <t>Selecteer data in 'Data Verwerkt' → Insert → PivotTable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2026-01-23T21:47:23Z</dcterms:created>
  <dcterms:modified xsi:type="dcterms:W3CDTF">2026-01-23T21:47:23Z</dcterms:modified>
</cp:coreProperties>
</file>